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1430" tabRatio="823" activeTab="1"/>
  </bookViews>
  <sheets>
    <sheet name="formulas_practice " sheetId="20" r:id="rId1"/>
    <sheet name="lookup_practice" sheetId="21" r:id="rId2"/>
    <sheet name="conversions_daily" sheetId="9" r:id="rId3"/>
    <sheet name="visits_daily" sheetId="1" r:id="rId4"/>
    <sheet name="visits_by_weekday" sheetId="2" r:id="rId5"/>
    <sheet name="pages_entry" sheetId="3" r:id="rId6"/>
    <sheet name="entry_main_daily" sheetId="4" r:id="rId7"/>
    <sheet name="pages_exit" sheetId="5" r:id="rId8"/>
    <sheet name="exit_main_daily" sheetId="6" r:id="rId9"/>
    <sheet name="sources_summary" sheetId="7" r:id="rId10"/>
    <sheet name="sources_daily" sheetId="8" r:id="rId11"/>
    <sheet name=" conversions_detail" sheetId="11" r:id="rId12"/>
    <sheet name="search_daily" sheetId="10" r:id="rId13"/>
    <sheet name="search_phrases" sheetId="12" r:id="rId14"/>
    <sheet name="age_summary" sheetId="13" r:id="rId15"/>
    <sheet name="age_daily" sheetId="14" r:id="rId16"/>
    <sheet name="gender_summary" sheetId="15" r:id="rId17"/>
    <sheet name="gender_daily" sheetId="16" r:id="rId18"/>
    <sheet name="popular_total" sheetId="17" r:id="rId19"/>
    <sheet name="popular_daily" sheetId="18" r:id="rId20"/>
  </sheets>
  <definedNames>
    <definedName name="Визиты">visits_daily!$B:$B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21" l="1"/>
  <c r="F2" i="21"/>
  <c r="F3" i="21"/>
  <c r="F4" i="21"/>
  <c r="F5" i="21"/>
  <c r="F6" i="21"/>
  <c r="F7" i="21"/>
  <c r="F8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H2" i="2"/>
  <c r="H3" i="2"/>
  <c r="H4" i="2"/>
  <c r="H5" i="2"/>
  <c r="H6" i="2"/>
  <c r="H7" i="2"/>
  <c r="H8" i="2"/>
  <c r="H9" i="2"/>
  <c r="G2" i="2"/>
  <c r="G3" i="2"/>
  <c r="G4" i="2"/>
  <c r="G5" i="2"/>
  <c r="G6" i="2"/>
  <c r="G7" i="2"/>
  <c r="G8" i="2"/>
  <c r="G9" i="2"/>
  <c r="E2" i="21"/>
  <c r="C2" i="2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D2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I2" i="12"/>
  <c r="I3" i="12"/>
  <c r="I4" i="12"/>
  <c r="I5" i="12"/>
  <c r="M2" i="1"/>
  <c r="M62" i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3" i="1"/>
  <c r="M64" i="1"/>
  <c r="M65" i="1"/>
  <c r="M6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J4" i="1"/>
  <c r="I50" i="1"/>
  <c r="J2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F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H2" i="20"/>
  <c r="D2" i="9"/>
  <c r="A2" i="20"/>
  <c r="B2" i="20"/>
  <c r="D2" i="20"/>
  <c r="E2" i="2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</calcChain>
</file>

<file path=xl/sharedStrings.xml><?xml version="1.0" encoding="utf-8"?>
<sst xmlns="http://schemas.openxmlformats.org/spreadsheetml/2006/main" count="1828" uniqueCount="453">
  <si>
    <t>Период</t>
  </si>
  <si>
    <t>Итого и средние (Визиты)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</si>
  <si>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</si>
  <si>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</si>
  <si>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</si>
  <si>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</si>
  <si>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</si>
  <si>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</si>
  <si>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</si>
  <si>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</si>
  <si>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</si>
  <si>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</si>
  <si>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</si>
  <si>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</si>
  <si>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</si>
  <si>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</si>
  <si>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</si>
  <si>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</si>
  <si>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</si>
  <si>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</si>
  <si>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</si>
  <si>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</si>
  <si>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</si>
  <si>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</si>
  <si>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</si>
  <si>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</si>
  <si>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</si>
  <si>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</si>
  <si>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</si>
  <si>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</si>
  <si>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</si>
  <si>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</si>
  <si>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</si>
  <si>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</si>
  <si>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</si>
  <si>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</si>
  <si>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</si>
  <si>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</si>
  <si>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</si>
  <si>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</si>
  <si>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</si>
  <si>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</si>
  <si>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</si>
  <si>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</si>
  <si>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</si>
  <si>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</si>
  <si>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</si>
  <si>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</si>
  <si>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</si>
  <si>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</si>
  <si>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</si>
  <si>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</si>
  <si>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</si>
  <si>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</si>
  <si>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</si>
  <si>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</si>
  <si>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</si>
  <si>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</si>
  <si>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</si>
  <si>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</si>
  <si>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</si>
  <si>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</si>
  <si>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</si>
  <si>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</si>
  <si>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</si>
  <si>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</si>
  <si>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</si>
  <si>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День недели визита</t>
  </si>
  <si>
    <t>Визиты</t>
  </si>
  <si>
    <t>Посетители</t>
  </si>
  <si>
    <t>Отказы</t>
  </si>
  <si>
    <t>Глубина просмотра</t>
  </si>
  <si>
    <t>Время на сайте</t>
  </si>
  <si>
    <t>Итого и средние</t>
  </si>
  <si>
    <t>00:12:28</t>
  </si>
  <si>
    <t>Воскресенье</t>
  </si>
  <si>
    <t>00:02:45</t>
  </si>
  <si>
    <t>Суббота</t>
  </si>
  <si>
    <t>00:14:22</t>
  </si>
  <si>
    <t>Пятница</t>
  </si>
  <si>
    <t>00:11:13</t>
  </si>
  <si>
    <t>Четверг</t>
  </si>
  <si>
    <t>00:11:59</t>
  </si>
  <si>
    <t>Среда</t>
  </si>
  <si>
    <t>00:13:00</t>
  </si>
  <si>
    <t>Вторник</t>
  </si>
  <si>
    <t>00:15:31</t>
  </si>
  <si>
    <t>Понедельник</t>
  </si>
  <si>
    <t>00:09:19</t>
  </si>
  <si>
    <t>Страница входа, ур. 1</t>
  </si>
  <si>
    <t>Страница входа, ур. 2</t>
  </si>
  <si>
    <t>Страница входа, ур. 3</t>
  </si>
  <si>
    <t>Страница входа, ур. 4</t>
  </si>
  <si>
    <t>Страница входа</t>
  </si>
  <si>
    <t/>
  </si>
  <si>
    <t>https://кордо.рф/</t>
  </si>
  <si>
    <t>Не определено</t>
  </si>
  <si>
    <t>00:13:03</t>
  </si>
  <si>
    <t>https://кордо.рф/katalog</t>
  </si>
  <si>
    <t>00:13:49</t>
  </si>
  <si>
    <t>https://кордо.рф/katalog.php</t>
  </si>
  <si>
    <t>00:19:15</t>
  </si>
  <si>
    <t>https://кордо.рф/o-nas</t>
  </si>
  <si>
    <t>00:10:23</t>
  </si>
  <si>
    <t>https://кордо.рф/tovar/</t>
  </si>
  <si>
    <t>https://кордо.рф/tovar/MA4000cix</t>
  </si>
  <si>
    <t>00:35:12</t>
  </si>
  <si>
    <t>https://кордо.рф/?_ym_debug=1</t>
  </si>
  <si>
    <t>00:00:49</t>
  </si>
  <si>
    <t>https://кордо.рф/test-katalog</t>
  </si>
  <si>
    <t>00:05:52</t>
  </si>
  <si>
    <t>https://кордо.рф/tovar/MA4000fx</t>
  </si>
  <si>
    <t>00:04:54</t>
  </si>
  <si>
    <t>https://кордо.рф/tovar/TK-8455K</t>
  </si>
  <si>
    <t>00:00:05</t>
  </si>
  <si>
    <t>https://кордо.рф/cmd_sco</t>
  </si>
  <si>
    <t>00:00:00</t>
  </si>
  <si>
    <t>https://кордо.рф/korzina</t>
  </si>
  <si>
    <t>00:37:46</t>
  </si>
  <si>
    <t>https://кордо.рф/tovar/960-001227</t>
  </si>
  <si>
    <t>00:02:19</t>
  </si>
  <si>
    <t>https://кордо.рф/tovar/TK5135Y</t>
  </si>
  <si>
    <t>00:10:48</t>
  </si>
  <si>
    <t>https://кордо.рф/tovar/TK5205C</t>
  </si>
  <si>
    <t>00:02:00</t>
  </si>
  <si>
    <t>https://кордо.рф/tovar/TR-8550</t>
  </si>
  <si>
    <t>00:00:15</t>
  </si>
  <si>
    <t>https://кордо.рф/tovar/TR3000</t>
  </si>
  <si>
    <t>00:00:27</t>
  </si>
  <si>
    <t>https://кордо.рф/katalog.php?</t>
  </si>
  <si>
    <t>https://кордо.рф/katalog.php?_ym_debug=1</t>
  </si>
  <si>
    <t>00:04:47</t>
  </si>
  <si>
    <t>https://кордо.рф/korzina.php</t>
  </si>
  <si>
    <t>https://кордо.рф/sitemap</t>
  </si>
  <si>
    <t>00:00:18</t>
  </si>
  <si>
    <t>https://кордо.рф/sitemap.xml</t>
  </si>
  <si>
    <t>00:04:03</t>
  </si>
  <si>
    <t>https://кордо.рф/tovar.php?</t>
  </si>
  <si>
    <t>https://кордо.рф/tovar.php?id=MA4000cix</t>
  </si>
  <si>
    <t>02:01:46</t>
  </si>
  <si>
    <t>https://кордо.рф/tovar.php?id=TK5205C</t>
  </si>
  <si>
    <t>00:27:31</t>
  </si>
  <si>
    <t>https://кордо.рф/tovar//W9015MC</t>
  </si>
  <si>
    <t>00:01:48</t>
  </si>
  <si>
    <t>https://кордо.рф/tovar/006R01646</t>
  </si>
  <si>
    <t>00:17:45</t>
  </si>
  <si>
    <t>https://кордо.рф/tovar/171033</t>
  </si>
  <si>
    <t>00:00:09</t>
  </si>
  <si>
    <t>https://кордо.рф/tovar/180112506</t>
  </si>
  <si>
    <t>https://кордо.рф/tovar/2741U</t>
  </si>
  <si>
    <t>https://кордо.рф/tovar/302KT02150</t>
  </si>
  <si>
    <t>https://кордо.рф/tovar/3275</t>
  </si>
  <si>
    <t>https://кордо.рф/tovar/3804</t>
  </si>
  <si>
    <t>https://кордо.рф/tovar/471044</t>
  </si>
  <si>
    <t>https://кордо.рф/tovar/604K20543</t>
  </si>
  <si>
    <t>00:00:17</t>
  </si>
  <si>
    <t>https://кордо.рф/tovar/75BMC01</t>
  </si>
  <si>
    <t>https://кордо.рф/tovar/83571</t>
  </si>
  <si>
    <t>00:00:26</t>
  </si>
  <si>
    <t>https://кордо.рф/tovar/90NB0ZR1-M02S50</t>
  </si>
  <si>
    <t>00:18:02</t>
  </si>
  <si>
    <t>https://кордо.рф/tovar/CT-XE-PH6500M</t>
  </si>
  <si>
    <t>00:00:16</t>
  </si>
  <si>
    <t>https://кордо.рф/tovar/D0D81846</t>
  </si>
  <si>
    <t>00:12:54</t>
  </si>
  <si>
    <t>https://кордо.рф/tovar/D4EU02-16G</t>
  </si>
  <si>
    <t>https://кордо.рф/tovar/ELP-UFR-KY-3500i-1</t>
  </si>
  <si>
    <t>https://кордо.рф/tovar/FM1-R400</t>
  </si>
  <si>
    <t>00:01:08</t>
  </si>
  <si>
    <t>https://кордо.рф/tovar/FM1-Z025</t>
  </si>
  <si>
    <t>https://кордо.рф/tovar/MA3500cix</t>
  </si>
  <si>
    <t>00:17:23</t>
  </si>
  <si>
    <t>https://кордо.рф/tovar/MA4000wifx</t>
  </si>
  <si>
    <t>https://кордо.рф/tovar/MZ-77E4T0BW</t>
  </si>
  <si>
    <t>00:00:14</t>
  </si>
  <si>
    <t>https://кордо.рф/tovar/NX.KSJER.002</t>
  </si>
  <si>
    <t>https://кордо.рф/tovar/RM1-8176</t>
  </si>
  <si>
    <t>https://кордо.рф/tovar/RM2-2758</t>
  </si>
  <si>
    <t>https://кордо.рф/tovar/TK1140</t>
  </si>
  <si>
    <t>00:00:22</t>
  </si>
  <si>
    <t>https://кордо.рф/tovar/TK5220K</t>
  </si>
  <si>
    <t>00:29:29</t>
  </si>
  <si>
    <t>https://кордо.рф/tovar/TK5220Y</t>
  </si>
  <si>
    <t>https://кордо.рф/tovar/TK5240M</t>
  </si>
  <si>
    <t>00:02:42</t>
  </si>
  <si>
    <t>https://кордо.рф/tovar/TK5270C</t>
  </si>
  <si>
    <t>https://кордо.рф/tovar/TS64GUSD300S-A</t>
  </si>
  <si>
    <t>https://кордо.рф/tovar/WR1300</t>
  </si>
  <si>
    <t>https://кордо.рф/tovar/Б0062717-139398</t>
  </si>
  <si>
    <t>https://кордо.рф/tovar/Б0064661-149304</t>
  </si>
  <si>
    <t>https://кордо.рф/ (Визиты)</t>
  </si>
  <si>
    <t>Страница выхода, ур. 1</t>
  </si>
  <si>
    <t>Страница выхода, ур. 2</t>
  </si>
  <si>
    <t>Страница выхода, ур. 3</t>
  </si>
  <si>
    <t>Страница выхода, ур. 4</t>
  </si>
  <si>
    <t>Страница выхода</t>
  </si>
  <si>
    <t>00:02:40</t>
  </si>
  <si>
    <t>00:34:40</t>
  </si>
  <si>
    <t>00:18:46</t>
  </si>
  <si>
    <t>00:16:10</t>
  </si>
  <si>
    <t>00:08:38</t>
  </si>
  <si>
    <t>00:01:36</t>
  </si>
  <si>
    <t>https://кордо.рф/aboutus.php</t>
  </si>
  <si>
    <t>00:15:59</t>
  </si>
  <si>
    <t>https://кордо.рф/index.php</t>
  </si>
  <si>
    <t>00:17:10</t>
  </si>
  <si>
    <t>00:20:08</t>
  </si>
  <si>
    <t>01:04:32</t>
  </si>
  <si>
    <t>00:06:08</t>
  </si>
  <si>
    <t>00:05:02</t>
  </si>
  <si>
    <t>00:10:00</t>
  </si>
  <si>
    <t>https://кордо.рф/katalog?</t>
  </si>
  <si>
    <t>https://кордо.рф/katalog?group=GRP0001</t>
  </si>
  <si>
    <t>00:40:07</t>
  </si>
  <si>
    <t>00:19:12</t>
  </si>
  <si>
    <t>00:06:25</t>
  </si>
  <si>
    <t>https://кордо.рф/tovar/82LX00D7PS</t>
  </si>
  <si>
    <t>00:14:40</t>
  </si>
  <si>
    <t>00:01:47</t>
  </si>
  <si>
    <t>https://кордо.рф/katalog?group=GRP0003</t>
  </si>
  <si>
    <t>01:48:39</t>
  </si>
  <si>
    <t>https://кордо.рф/katalog?group=GRP0016</t>
  </si>
  <si>
    <t>01:23:15</t>
  </si>
  <si>
    <t>00:06:07</t>
  </si>
  <si>
    <t>https://кордо.рф/test-htacces</t>
  </si>
  <si>
    <t>00:01:05</t>
  </si>
  <si>
    <t>00:00:37</t>
  </si>
  <si>
    <t>https://кордо.рф/tovar.php?id=MA4000wifx</t>
  </si>
  <si>
    <t>01:05:25</t>
  </si>
  <si>
    <t>https://кордо.рф/tovar/29510</t>
  </si>
  <si>
    <t>00:07:17</t>
  </si>
  <si>
    <t>https://кордо.рф/tovar/3PZ55A</t>
  </si>
  <si>
    <t>00:09:32</t>
  </si>
  <si>
    <t>https://кордо.рф/tovar/65721</t>
  </si>
  <si>
    <t>https://кордо.рф/tovar/A39BZPA</t>
  </si>
  <si>
    <t>00:00:53</t>
  </si>
  <si>
    <t>https://кордо.рф/tovar/LCD-02</t>
  </si>
  <si>
    <t>https://кордо.рф/tovar/MA2600cfx</t>
  </si>
  <si>
    <t>00:24:42</t>
  </si>
  <si>
    <t>01:03:27</t>
  </si>
  <si>
    <t>https://кордо.рф/tovar/MA5500ifx</t>
  </si>
  <si>
    <t>00:37:26</t>
  </si>
  <si>
    <t>https://кордо.рф/tovar/TK5135C</t>
  </si>
  <si>
    <t>00:00:03</t>
  </si>
  <si>
    <t>https://кордо.рф/tovar/TK5195C</t>
  </si>
  <si>
    <t>00:09:03</t>
  </si>
  <si>
    <t>https://кордо.рф/tovar/TK5220C</t>
  </si>
  <si>
    <t>00:15:41</t>
  </si>
  <si>
    <t>https://кордо.рф/tovar/TK5220M</t>
  </si>
  <si>
    <t>00:08:02</t>
  </si>
  <si>
    <t>https://кордо.рф/tovar/TK8365Y</t>
  </si>
  <si>
    <t>00:16:03</t>
  </si>
  <si>
    <t>Источник трафика</t>
  </si>
  <si>
    <t>Источник трафика (детально)</t>
  </si>
  <si>
    <t>Прямые заходы</t>
  </si>
  <si>
    <t>00:05:33</t>
  </si>
  <si>
    <t>Переходы из поисковых систем</t>
  </si>
  <si>
    <t>Яндекс</t>
  </si>
  <si>
    <t>00:22:08</t>
  </si>
  <si>
    <t>Внутренние переходы</t>
  </si>
  <si>
    <t>00:09:35</t>
  </si>
  <si>
    <t>Переходы по ссылкам на сайтах</t>
  </si>
  <si>
    <t>metrika.yandex.ru</t>
  </si>
  <si>
    <t>00:24:46</t>
  </si>
  <si>
    <t>Google</t>
  </si>
  <si>
    <t>00:00:50</t>
  </si>
  <si>
    <t>webmaster.yandex.ru</t>
  </si>
  <si>
    <t>00:06:37</t>
  </si>
  <si>
    <t>aisearchindex.space</t>
  </si>
  <si>
    <t>00:00:41</t>
  </si>
  <si>
    <t>iframe-yang.yandex</t>
  </si>
  <si>
    <t>search.google.com</t>
  </si>
  <si>
    <t>Переходы из поисковых систем (Визиты)</t>
  </si>
  <si>
    <t>Прямые заходы (Визиты)</t>
  </si>
  <si>
    <t>Переходы по ссылкам на сайтах (Визиты)</t>
  </si>
  <si>
    <t>Внутренние переходы (Визиты)</t>
  </si>
  <si>
    <t>Интервал дат визита</t>
  </si>
  <si>
    <t>Целевые визиты (Клик по кнопке "В корзину")</t>
  </si>
  <si>
    <t>Целевые посетители (Клик по кнопке "В корзину")</t>
  </si>
  <si>
    <t>Просмотры (Клик по кнопке "В корзину")</t>
  </si>
  <si>
    <t>Доля новых посетителей (Клик по кнопке "В корзину")</t>
  </si>
  <si>
    <t>Отказы (Клик по кнопке "В корзину")</t>
  </si>
  <si>
    <t>Глубина просмотра (Клик по кнопке "В корзину")</t>
  </si>
  <si>
    <t>Время на сайте (Клик по кнопке "В корзину")</t>
  </si>
  <si>
    <t>00:58:15</t>
  </si>
  <si>
    <t>01:58:50</t>
  </si>
  <si>
    <t>00:57:29</t>
  </si>
  <si>
    <t>00:54:24</t>
  </si>
  <si>
    <t>01:12:01</t>
  </si>
  <si>
    <t>00:00:29</t>
  </si>
  <si>
    <t>01:05:20</t>
  </si>
  <si>
    <t>00:05:22</t>
  </si>
  <si>
    <t>00:10:33</t>
  </si>
  <si>
    <t>Яндекс (Визиты)</t>
  </si>
  <si>
    <t>Google (Визиты)</t>
  </si>
  <si>
    <t>Поисковая система</t>
  </si>
  <si>
    <t>Поисковая система (детально)</t>
  </si>
  <si>
    <t>Поисковая фраза</t>
  </si>
  <si>
    <t>00:18:18</t>
  </si>
  <si>
    <t>Яндекс, результаты поиска</t>
  </si>
  <si>
    <t>00:25:30</t>
  </si>
  <si>
    <t>Google, результаты поиска</t>
  </si>
  <si>
    <t>Мобильный Яндекс</t>
  </si>
  <si>
    <t>кордо рф главная</t>
  </si>
  <si>
    <t>00:02:21</t>
  </si>
  <si>
    <t>Возраст</t>
  </si>
  <si>
    <t>Просмотры</t>
  </si>
  <si>
    <t>00:18:29</t>
  </si>
  <si>
    <t>младше 18 лет</t>
  </si>
  <si>
    <t>00:12:38</t>
  </si>
  <si>
    <t>18‑24 года</t>
  </si>
  <si>
    <t>00:12:07</t>
  </si>
  <si>
    <t>25‑34 года</t>
  </si>
  <si>
    <t>00:04:05</t>
  </si>
  <si>
    <t>35‑44 года</t>
  </si>
  <si>
    <t>00:21:52</t>
  </si>
  <si>
    <t>45-54 года</t>
  </si>
  <si>
    <t>00:25:51</t>
  </si>
  <si>
    <t>55 лет и старше</t>
  </si>
  <si>
    <t>младше 18 лет (Визиты)</t>
  </si>
  <si>
    <t>18‑24 года (Визиты)</t>
  </si>
  <si>
    <t>25‑34 года (Визиты)</t>
  </si>
  <si>
    <t>35‑44 года (Визиты)</t>
  </si>
  <si>
    <t>45-54 года (Визиты)</t>
  </si>
  <si>
    <t>Пол</t>
  </si>
  <si>
    <t>00:18:22</t>
  </si>
  <si>
    <t>мужской</t>
  </si>
  <si>
    <t>00:18:56</t>
  </si>
  <si>
    <t>женский</t>
  </si>
  <si>
    <t>мужской (Визиты)</t>
  </si>
  <si>
    <t>женский (Визиты)</t>
  </si>
  <si>
    <t>Адрес, ур. 1</t>
  </si>
  <si>
    <t>Адрес, ур. 2</t>
  </si>
  <si>
    <t>Адрес, ур. 3</t>
  </si>
  <si>
    <t>Адрес, ур. 4</t>
  </si>
  <si>
    <t>Адрес страницы</t>
  </si>
  <si>
    <t>https://кордо.рф/o-nas/</t>
  </si>
  <si>
    <t>https://кордо.рф/tovar/katalog.php</t>
  </si>
  <si>
    <t>https://кордо.рф/tovar/933321-855-OEM</t>
  </si>
  <si>
    <t>https://кордо.рф/katalog?group=GRP0002</t>
  </si>
  <si>
    <t>https://кордо.рф/tovar.php?id=MA3500cifx</t>
  </si>
  <si>
    <t>https://кордо.рф/tovar/TASKalfa_2554ci</t>
  </si>
  <si>
    <t>https://кордо.рф/tovar.php?id=MA2600cfx</t>
  </si>
  <si>
    <t>https://кордо.рф/tovar/5HB09D%23B19</t>
  </si>
  <si>
    <t>https://кордо.рф/tovar/5HB10D%23B19</t>
  </si>
  <si>
    <t>https://кордо.рф/katalog?group=GRP0004</t>
  </si>
  <si>
    <t>https://кордо.рф/tovar/M4125idn</t>
  </si>
  <si>
    <t>https://кордо.рф/tovar/W6B55A_bp</t>
  </si>
  <si>
    <t>https://кордо.рф/tovar/index.php</t>
  </si>
  <si>
    <t>https://кордо.рф/tovar/002-2230-0-SP</t>
  </si>
  <si>
    <t>https://кордо.рф/tovar/t5240k</t>
  </si>
  <si>
    <t>https://кордо.рф/katalog?group=GRP0005</t>
  </si>
  <si>
    <t>https://кордо.рф/tovar/5HB09DB19</t>
  </si>
  <si>
    <t>https://кордо.рф/tovar/FS-80582</t>
  </si>
  <si>
    <t>https://кордо.рф/?_ym_status-check=107087324&amp;_ym_lang=ru</t>
  </si>
  <si>
    <t>https://кордо.рф/katalog?group=GRP0008</t>
  </si>
  <si>
    <t>https://кордо.рф/sitemap.php</t>
  </si>
  <si>
    <t>https://кордо.рф/test-htaccess</t>
  </si>
  <si>
    <t>https://кордо.рф/tovar/5HB07D%23B19</t>
  </si>
  <si>
    <t>https://кордо.рф/tovar/5HB10DB19</t>
  </si>
  <si>
    <t>https://кордо.рф/tovar/77269</t>
  </si>
  <si>
    <t>https://кордо.рф/tovar/960-001065</t>
  </si>
  <si>
    <t>https://кордо.рф/tovar/&lt;?</t>
  </si>
  <si>
    <t>https://кордо.рф/tovar/&lt;?=MA2600cfx</t>
  </si>
  <si>
    <t>https://кордо.рф/tovar/&lt;?=MA4000cix</t>
  </si>
  <si>
    <t>https://кордо.рф/tovar/FS-80202</t>
  </si>
  <si>
    <t>https://кордо.рф/tovar/JBLCHARGE5BLU</t>
  </si>
  <si>
    <t>https://кордо.рф/tovar/MA4500fx</t>
  </si>
  <si>
    <t>https://кордо.рф/tovar/MZ2501ci</t>
  </si>
  <si>
    <t>https://кордо.рф/tovar/TASKalfa 2554ci</t>
  </si>
  <si>
    <t>https://кордо.рф/tovar/TK5135M</t>
  </si>
  <si>
    <t>https://кордо.рф/tovar/W6B55A.</t>
  </si>
  <si>
    <t>https://кордо.рф/tovar/Б0066234-152878</t>
  </si>
  <si>
    <t>https://кордо.рф/tovar/Б0069087_898768</t>
  </si>
  <si>
    <t>https://кордо.рф/cart</t>
  </si>
  <si>
    <t>https://кордо.рф/images/</t>
  </si>
  <si>
    <t>https://кордо.рф/images/M4125idn.webp</t>
  </si>
  <si>
    <t>https://кордо.рф/katalo</t>
  </si>
  <si>
    <t>https://кордо.рф/o-na</t>
  </si>
  <si>
    <t>https://кордо.рф/templates/</t>
  </si>
  <si>
    <t>https://кордо.рф/templates/cassiopeia/</t>
  </si>
  <si>
    <t>https://кордо.рф/templates/cassiopeia/images/</t>
  </si>
  <si>
    <t>https://кордо.рф/templates/cassiopeia/images/icons/lupe.svg</t>
  </si>
  <si>
    <t>https://кордо.рф/test-katalo</t>
  </si>
  <si>
    <t>https://кордо.рф/tovar/26083</t>
  </si>
  <si>
    <t>https://кордо.рф/tovar/26097</t>
  </si>
  <si>
    <t>https://кордо.рф/tovar/5HB07DB19</t>
  </si>
  <si>
    <t>https://кордо.рф/tovar/604K58410</t>
  </si>
  <si>
    <t>https://кордо.рф/tovar/65431</t>
  </si>
  <si>
    <t>https://кордо.рф/tovar/83549</t>
  </si>
  <si>
    <t>https://кордо.рф/tovar/CB-7211M</t>
  </si>
  <si>
    <t>https://кордо.рф/tovar/CF150-67018</t>
  </si>
  <si>
    <t>https://кордо.рф/tovar/M4132idn</t>
  </si>
  <si>
    <t>https://кордо.рф/tovar/MA2600cwfx</t>
  </si>
  <si>
    <t>https://кордо.рф/tovar/MA4500ix</t>
  </si>
  <si>
    <t>https://кордо.рф/tovar/NX.D2MER.001</t>
  </si>
  <si>
    <t>https://кордо.рф/tovar/NX.J23EM.003</t>
  </si>
  <si>
    <t>https://кордо.рф/tovar/PAAD600AEU</t>
  </si>
  <si>
    <t>https://кордо.рф/tovar/SV-020552</t>
  </si>
  <si>
    <t>https://кордо.рф/tovar/TASKalfa 4054ci с уценкой</t>
  </si>
  <si>
    <t>https://кордо.рф/tovar/TK5135K</t>
  </si>
  <si>
    <t>https://кордо.рф/tovar/TK5195M</t>
  </si>
  <si>
    <t>https://кордо.рф/tovar/aboutus.php</t>
  </si>
  <si>
    <t>https://кордо.рф/tovar/images/</t>
  </si>
  <si>
    <t>https://кордо.рф/tovar/images/Integral.webp</t>
  </si>
  <si>
    <t>https://кордо.рф/tovar/politika.php</t>
  </si>
  <si>
    <t>https://кордо.рф/tovar/Б0064646-148871</t>
  </si>
  <si>
    <t>https://кордо.рф/ (Просмотры)</t>
  </si>
  <si>
    <t>Итого и средние (Просмотры)</t>
  </si>
  <si>
    <t>Статус</t>
  </si>
  <si>
    <t>сумма визитов после 21 марта</t>
  </si>
  <si>
    <t>сумма визитов до 21 марта</t>
  </si>
  <si>
    <t>визиты только от прямых заходов</t>
  </si>
  <si>
    <t>среднее визитов в апреле</t>
  </si>
  <si>
    <t>визиты за конкретную неделю</t>
  </si>
  <si>
    <t>сколько дней трафик был от 5 до 15 визитов</t>
  </si>
  <si>
    <t>Уровень трафика</t>
  </si>
  <si>
    <t>Рабочий пик</t>
  </si>
  <si>
    <t>Мёртвый день</t>
  </si>
  <si>
    <t>Период до / после</t>
  </si>
  <si>
    <t>=СЧЁТЕСЛИ(conversions_daily[Итого и средние (Целевые визиты)];"&gt;0")</t>
  </si>
  <si>
    <t>=СУММЕСЛИ(sources_summary[Источник трафика];"Прямые заходы";sources_summary[Визиты])</t>
  </si>
  <si>
    <t>=СРЗНАЧЕСЛИ(sources_summary[Источник трафика];"Прямые заходы";sources_summary[Отказы])</t>
  </si>
  <si>
    <t>сколько дней больше 10 визитов</t>
  </si>
  <si>
    <t>сколько дней с нулём визитов</t>
  </si>
  <si>
    <t>сколько дней с ненулевой конверсией</t>
  </si>
  <si>
    <t>среднее отказов для прямых заходов</t>
  </si>
  <si>
    <t>день недели текстом</t>
  </si>
  <si>
    <t>Месяц и год текстом</t>
  </si>
  <si>
    <t>номер недели по ISO</t>
  </si>
  <si>
    <t>номер дня недели</t>
  </si>
  <si>
    <t>номер месяца</t>
  </si>
  <si>
    <t>число месяца</t>
  </si>
  <si>
    <t>дней прошло с начала периода</t>
  </si>
  <si>
    <t>дней до/после 21 марта</t>
  </si>
  <si>
    <t>Путь без домена</t>
  </si>
  <si>
    <t>Тип страницы</t>
  </si>
  <si>
    <t>артикул товара из URL</t>
  </si>
  <si>
    <t>Длина Фразы</t>
  </si>
  <si>
    <t>Визиты по дате через ВПР</t>
  </si>
  <si>
    <t>номер строки с макс трафиком</t>
  </si>
  <si>
    <t>Дата самого посещаемого дня</t>
  </si>
  <si>
    <t>Конверсия за день</t>
  </si>
  <si>
    <t>Нарастающий итог</t>
  </si>
  <si>
    <t>Доля дня в периоде</t>
  </si>
  <si>
    <t>Прирост день к дню</t>
  </si>
  <si>
    <t>Отклонение от среднего</t>
  </si>
  <si>
    <t>ЦелевыеВизиты</t>
  </si>
  <si>
    <t>Время в секундах</t>
  </si>
  <si>
    <t>Время в минутах</t>
  </si>
  <si>
    <t>Ранг страницы по визитам</t>
  </si>
  <si>
    <t>БЛОК И – Ранжирование и топы</t>
  </si>
  <si>
    <t>Визиты по дате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</si>
</sst>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F400]h:mm:ss\ AM/PM"/>
  </numFmts>
  <fonts count="12">
    <font>
      <sz val="11"/>
      <color theme="1"/>
      <name val="Calibri"/>
      <family val="2"/>
      <scheme val="minor"/>
    </font>
    <font>
      <b/>
      <sz val="11"/>
      <name val="Arial"/>
    </font>
    <font>
      <sz val="11"/>
      <color indexed="8"/>
      <name val="Calibri"/>
      <family val="2"/>
      <scheme val="minor"/>
    </font>
    <font>
      <b/>
      <sz val="11"/>
      <name val="Arial"/>
      <family val="2"/>
      <charset val="204"/>
    </font>
    <font>
      <sz val="10"/>
      <color theme="1"/>
      <name val="Arial Unicode MS"/>
    </font>
    <font>
      <sz val="11"/>
      <name val="Calibri"/>
      <family val="2"/>
      <scheme val="minor"/>
    </font>
    <font>
      <sz val="11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4"/>
      <color rgb="FF0061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</cellStyleXfs>
  <cellXfs count="76">
    <xf numFmtId="0" fontId="0" fillId="0" borderId="0" xfId="0"/>
    <xf numFmtId="1" fontId="0" fillId="0" borderId="0" xfId="0" applyNumberFormat="1"/>
    <xf numFmtId="0" fontId="1" fillId="0" borderId="0" xfId="1" applyFont="1" applyAlignment="1">
      <alignment horizontal="center"/>
    </xf>
    <xf numFmtId="0" fontId="2" fillId="0" borderId="0" xfId="1" applyAlignment="1">
      <alignment horizontal="left"/>
    </xf>
    <xf numFmtId="1" fontId="2" fillId="0" borderId="0" xfId="1" applyNumberFormat="1"/>
    <xf numFmtId="10" fontId="2" fillId="0" borderId="0" xfId="1" applyNumberFormat="1"/>
    <xf numFmtId="164" fontId="2" fillId="0" borderId="0" xfId="1" applyNumberFormat="1"/>
    <xf numFmtId="14" fontId="0" fillId="0" borderId="0" xfId="0" applyNumberFormat="1"/>
    <xf numFmtId="0" fontId="1" fillId="0" borderId="0" xfId="1" applyFont="1" applyAlignment="1">
      <alignment horizontal="center"/>
    </xf>
    <xf numFmtId="1" fontId="2" fillId="0" borderId="0" xfId="1" applyNumberFormat="1"/>
    <xf numFmtId="0" fontId="1" fillId="0" borderId="0" xfId="1" applyFont="1" applyAlignment="1">
      <alignment horizontal="center"/>
    </xf>
    <xf numFmtId="0" fontId="2" fillId="0" borderId="0" xfId="1" applyAlignment="1">
      <alignment horizontal="left"/>
    </xf>
    <xf numFmtId="1" fontId="2" fillId="0" borderId="0" xfId="1" applyNumberFormat="1"/>
    <xf numFmtId="10" fontId="2" fillId="0" borderId="0" xfId="1" applyNumberFormat="1"/>
    <xf numFmtId="164" fontId="2" fillId="0" borderId="0" xfId="1" applyNumberFormat="1"/>
    <xf numFmtId="21" fontId="2" fillId="0" borderId="0" xfId="1" applyNumberFormat="1"/>
    <xf numFmtId="0" fontId="1" fillId="0" borderId="0" xfId="1" applyFont="1" applyAlignment="1">
      <alignment horizontal="center"/>
    </xf>
    <xf numFmtId="1" fontId="2" fillId="0" borderId="0" xfId="1" applyNumberFormat="1"/>
    <xf numFmtId="0" fontId="1" fillId="0" borderId="0" xfId="1" applyFont="1" applyAlignment="1">
      <alignment horizontal="center"/>
    </xf>
    <xf numFmtId="0" fontId="2" fillId="0" borderId="0" xfId="1" applyAlignment="1">
      <alignment horizontal="left"/>
    </xf>
    <xf numFmtId="1" fontId="2" fillId="0" borderId="0" xfId="1" applyNumberFormat="1"/>
    <xf numFmtId="10" fontId="2" fillId="0" borderId="0" xfId="1" applyNumberFormat="1"/>
    <xf numFmtId="164" fontId="2" fillId="0" borderId="0" xfId="1" applyNumberFormat="1"/>
    <xf numFmtId="21" fontId="2" fillId="0" borderId="0" xfId="1" applyNumberFormat="1"/>
    <xf numFmtId="0" fontId="1" fillId="0" borderId="0" xfId="1" applyFont="1" applyAlignment="1">
      <alignment horizontal="center"/>
    </xf>
    <xf numFmtId="1" fontId="2" fillId="0" borderId="0" xfId="1" applyNumberFormat="1"/>
    <xf numFmtId="0" fontId="1" fillId="0" borderId="0" xfId="1" applyFont="1" applyAlignment="1">
      <alignment horizontal="center"/>
    </xf>
    <xf numFmtId="1" fontId="2" fillId="0" borderId="0" xfId="1" applyNumberFormat="1"/>
    <xf numFmtId="10" fontId="2" fillId="0" borderId="0" xfId="1" applyNumberFormat="1"/>
    <xf numFmtId="164" fontId="2" fillId="0" borderId="0" xfId="1" applyNumberFormat="1"/>
    <xf numFmtId="21" fontId="2" fillId="0" borderId="0" xfId="1" applyNumberFormat="1"/>
    <xf numFmtId="0" fontId="1" fillId="0" borderId="0" xfId="1" applyFont="1" applyAlignment="1">
      <alignment horizontal="center"/>
    </xf>
    <xf numFmtId="1" fontId="2" fillId="0" borderId="0" xfId="1" applyNumberFormat="1"/>
    <xf numFmtId="0" fontId="1" fillId="0" borderId="0" xfId="1" applyFont="1" applyAlignment="1">
      <alignment horizontal="center"/>
    </xf>
    <xf numFmtId="0" fontId="2" fillId="0" borderId="0" xfId="1" applyAlignment="1">
      <alignment horizontal="left"/>
    </xf>
    <xf numFmtId="1" fontId="2" fillId="0" borderId="0" xfId="1" applyNumberFormat="1"/>
    <xf numFmtId="10" fontId="2" fillId="0" borderId="0" xfId="1" applyNumberFormat="1"/>
    <xf numFmtId="164" fontId="2" fillId="0" borderId="0" xfId="1" applyNumberFormat="1"/>
    <xf numFmtId="21" fontId="2" fillId="0" borderId="0" xfId="1" applyNumberFormat="1"/>
    <xf numFmtId="0" fontId="1" fillId="0" borderId="0" xfId="1" applyFont="1" applyAlignment="1">
      <alignment horizontal="center"/>
    </xf>
    <xf numFmtId="1" fontId="2" fillId="0" borderId="0" xfId="1" applyNumberFormat="1"/>
    <xf numFmtId="0" fontId="1" fillId="0" borderId="0" xfId="1" applyFont="1" applyAlignment="1">
      <alignment horizontal="center"/>
    </xf>
    <xf numFmtId="0" fontId="2" fillId="0" borderId="0" xfId="1" applyAlignment="1">
      <alignment horizontal="left"/>
    </xf>
    <xf numFmtId="1" fontId="2" fillId="0" borderId="0" xfId="1" applyNumberFormat="1"/>
    <xf numFmtId="10" fontId="2" fillId="0" borderId="0" xfId="1" applyNumberFormat="1"/>
    <xf numFmtId="164" fontId="2" fillId="0" borderId="0" xfId="1" applyNumberFormat="1"/>
    <xf numFmtId="21" fontId="2" fillId="0" borderId="0" xfId="1" applyNumberFormat="1"/>
    <xf numFmtId="0" fontId="1" fillId="0" borderId="0" xfId="1" applyFont="1" applyAlignment="1">
      <alignment horizontal="center"/>
    </xf>
    <xf numFmtId="1" fontId="2" fillId="0" borderId="0" xfId="1" applyNumberFormat="1"/>
    <xf numFmtId="0" fontId="1" fillId="0" borderId="0" xfId="1" applyFont="1" applyAlignment="1">
      <alignment horizontal="center"/>
    </xf>
    <xf numFmtId="0" fontId="2" fillId="0" borderId="0" xfId="1" applyAlignment="1">
      <alignment horizontal="left"/>
    </xf>
    <xf numFmtId="1" fontId="2" fillId="0" borderId="0" xfId="1" applyNumberFormat="1"/>
    <xf numFmtId="14" fontId="0" fillId="0" borderId="0" xfId="0" applyNumberFormat="1" applyAlignment="1">
      <alignment horizontal="left"/>
    </xf>
    <xf numFmtId="14" fontId="1" fillId="0" borderId="0" xfId="1" applyNumberFormat="1" applyFont="1" applyAlignment="1">
      <alignment horizontal="center"/>
    </xf>
    <xf numFmtId="14" fontId="2" fillId="0" borderId="0" xfId="1" applyNumberFormat="1" applyAlignment="1">
      <alignment horizontal="left"/>
    </xf>
    <xf numFmtId="0" fontId="2" fillId="0" borderId="0" xfId="1" applyAlignment="1">
      <alignment horizontal="left"/>
    </xf>
    <xf numFmtId="10" fontId="0" fillId="0" borderId="0" xfId="0" applyNumberFormat="1"/>
    <xf numFmtId="165" fontId="2" fillId="0" borderId="0" xfId="1" applyNumberFormat="1"/>
    <xf numFmtId="1" fontId="3" fillId="0" borderId="0" xfId="0" applyNumberFormat="1" applyFont="1" applyAlignment="1">
      <alignment horizontal="center"/>
    </xf>
    <xf numFmtId="0" fontId="4" fillId="0" borderId="0" xfId="0" applyFont="1"/>
    <xf numFmtId="14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9" fillId="2" borderId="0" xfId="2" applyFont="1"/>
    <xf numFmtId="0" fontId="10" fillId="2" borderId="0" xfId="2" applyFont="1"/>
    <xf numFmtId="0" fontId="11" fillId="0" borderId="0" xfId="0" applyFont="1"/>
    <xf numFmtId="0" fontId="0" fillId="0" borderId="0" xfId="0" applyNumberFormat="1"/>
    <xf numFmtId="0" fontId="5" fillId="0" borderId="0" xfId="0" applyFont="1" applyAlignment="1">
      <alignment vertical="top"/>
    </xf>
    <xf numFmtId="0" fontId="2" fillId="0" borderId="0" xfId="1" applyFill="1"/>
    <xf numFmtId="0" fontId="3" fillId="0" borderId="0" xfId="1" applyFont="1" applyFill="1" applyAlignment="1">
      <alignment horizontal="center"/>
    </xf>
    <xf numFmtId="0" fontId="2" fillId="0" borderId="0" xfId="1" applyAlignment="1">
      <alignment horizontal="left"/>
    </xf>
    <xf numFmtId="0" fontId="2" fillId="0" borderId="0" xfId="1" applyAlignment="1">
      <alignment horizontal="left"/>
    </xf>
    <xf numFmtId="2" fontId="0" fillId="0" borderId="0" xfId="0" applyNumberFormat="1"/>
    <xf numFmtId="0" fontId="8" fillId="0" borderId="0" xfId="3" applyFill="1"/>
    <xf numFmtId="0" fontId="0" fillId="0" borderId="0" xfId="0" applyFill="1"/>
    <xf numFmtId="1" fontId="5" fillId="0" borderId="0" xfId="0" applyNumberFormat="1" applyFont="1"/>
  </cellXfs>
  <cellStyles count="4">
    <cellStyle name="Обычный" xfId="0" builtinId="0"/>
    <cellStyle name="Обычный 2" xfId="1"/>
    <cellStyle name="Плохой" xfId="3" builtinId="27"/>
    <cellStyle name="Хороший" xfId="2" builtinId="26"/>
  </cellStyles>
  <dxfs count="73">
    <dxf>
      <numFmt numFmtId="0" formatCode="General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numFmt numFmtId="165" formatCode="[$-F400]h:mm:ss\ AM/PM"/>
    </dxf>
    <dxf>
      <numFmt numFmtId="164" formatCode="0.000"/>
    </dxf>
    <dxf>
      <numFmt numFmtId="14" formatCode="0.00%"/>
    </dxf>
    <dxf>
      <numFmt numFmtId="1" formatCode="0"/>
    </dxf>
    <dxf>
      <numFmt numFmtId="1" formatCode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61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numFmt numFmtId="26" formatCode="h:mm:ss"/>
    </dxf>
    <dxf>
      <numFmt numFmtId="164" formatCode="0.000"/>
    </dxf>
    <dxf>
      <numFmt numFmtId="14" formatCode="0.00%"/>
    </dxf>
    <dxf>
      <numFmt numFmtId="1" formatCode="0"/>
    </dxf>
    <dxf>
      <numFmt numFmtId="1" formatCode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6" formatCode="h:mm:ss"/>
    </dxf>
    <dxf>
      <numFmt numFmtId="164" formatCode="0.000"/>
    </dxf>
    <dxf>
      <numFmt numFmtId="14" formatCode="0.00%"/>
    </dxf>
    <dxf>
      <numFmt numFmtId="1" formatCode="0"/>
    </dxf>
    <dxf>
      <numFmt numFmtId="1" formatCode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" formatCode="0"/>
    </dxf>
    <dxf>
      <numFmt numFmtId="19" formatCode="dd/mm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" name="Таблица5" displayName="Таблица5" ref="A1:J2" totalsRowShown="0" headerRowDxfId="20" dataDxfId="21" headerRowCellStyle="Хороший">
  <autoFilter ref="A1:J2"/>
  <tableColumns count="10">
    <tableColumn id="1" name="сколько дней больше 10 визитов" dataDxfId="31" dataCellStyle="Хороший">
      <calculatedColumnFormula>COUNTIF(visits_daily[Визиты],"&gt;10")</calculatedColumnFormula>
    </tableColumn>
    <tableColumn id="2" name="сколько дней с нулём визитов" dataDxfId="30">
      <calculatedColumnFormula>COUNTIF(visits_daily[Визиты],0)</calculatedColumnFormula>
    </tableColumn>
    <tableColumn id="3" name="сколько дней с ненулевой конверсией" dataDxfId="29"/>
    <tableColumn id="4" name="сумма визитов после 21 марта" dataDxfId="28">
      <calculatedColumnFormula>SUMIF(visits_daily[Период],"&gt;="&amp;DATE(2026,3,21),visits_daily[Визиты])</calculatedColumnFormula>
    </tableColumn>
    <tableColumn id="5" name="сумма визитов до 21 марта" dataDxfId="27">
      <calculatedColumnFormula>SUMIF(visits_daily[Период],"&lt;"&amp;DATE(2026,3,21),visits_daily[Визиты])</calculatedColumnFormula>
    </tableColumn>
    <tableColumn id="6" name="визиты только от прямых заходов" dataDxfId="26"/>
    <tableColumn id="7" name="среднее отказов для прямых заходов" dataDxfId="25"/>
    <tableColumn id="8" name="среднее визитов в апреле" dataDxfId="24">
      <calculatedColumnFormula>AVERAGEIF(visits_daily[Период],"&gt;="&amp;DATE(2026,4,1),visits_daily[Визиты])</calculatedColumnFormula>
    </tableColumn>
    <tableColumn id="9" name="визиты за конкретную неделю" dataDxfId="23"/>
    <tableColumn id="10" name="сколько дней трафик был от 5 до 15 визитов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Таблица6" displayName="Таблица6" ref="A1:F66" totalsRowShown="0" headerRowDxfId="19">
  <autoFilter ref="A1:F66"/>
  <tableColumns count="6">
    <tableColumn id="1" name="Период" dataDxfId="14"/>
    <tableColumn id="2" name="Визиты по дате" dataDxfId="1">
      <calculatedColumnFormula>IFERROR(VLOOKUP(A2,visits_daily[[Период]:[Визиты]],2,FALSE),0)</calculatedColumnFormula>
    </tableColumn>
    <tableColumn id="3" name="Визиты по дате через ВПР" dataDxfId="4">
      <calculatedColumnFormula>IFERROR(VLOOKUP(A2,visits_daily[[Период]:[Визиты]],2,FALSE),0)</calculatedColumnFormula>
    </tableColumn>
    <tableColumn id="4" name="номер строки с макс трафиком" dataDxfId="3">
      <calculatedColumnFormula>MATCH(MAX(visits_daily[Визиты]),visits_daily[Визиты],0)</calculatedColumnFormula>
    </tableColumn>
    <tableColumn id="5" name="Дата самого посещаемого дня" dataDxfId="2">
      <calculatedColumnFormula>INDEX(visits_daily[Период],MATCH(MAX(visits_daily[Визиты]),visits_daily[Визиты],0))</calculatedColumnFormula>
    </tableColumn>
    <tableColumn id="6" name="Конверсия за день" dataDxfId="0">
      <calculatedColumnFormula>IF(B2=0,0,IFERROR(VLOOKUP(A2,conversions_daily[[Период]:[ЦелевыеВизиты]],2,FALSE),0)/B2)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versions_daily" displayName="conversions_daily" ref="A1:D66" totalsRowShown="0">
  <autoFilter ref="A1:D66"/>
  <tableColumns count="4">
    <tableColumn id="1" name="Период" dataDxfId="72"/>
    <tableColumn id="2" name="ЦелевыеВизиты"/>
    <tableColumn id="3" name="Статус" dataDxfId="71">
      <calculatedColumnFormula>IF(conversions_daily[[#This Row],[ЦелевыеВизиты]]&gt;0,"Есть","Нет")</calculatedColumnFormula>
    </tableColumn>
    <tableColumn id="4" name="Период до / после" dataDxfId="70">
      <calculatedColumnFormula>IF(conversions_daily[[#This Row],[Период]]&gt;DATE(2026,3,21),"После обрыва","До обрыва")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visits_daily" displayName="visits_daily" ref="A1:Q66" totalsRowShown="0" headerRowDxfId="69">
  <autoFilter ref="A1:Q66"/>
  <tableColumns count="17">
    <tableColumn id="1" name="Период" dataDxfId="68"/>
    <tableColumn id="2" name="Визиты" dataDxfId="67"/>
    <tableColumn id="3" name="Уровень трафика" dataDxfId="66">
      <calculatedColumnFormula>IF(visits_daily[[#This Row],[Визиты]]&gt;=15,"Пик",IF(visits_daily[[#This Row],[Визиты]]&gt;=10,"Высокий",IF(visits_daily[[#This Row],[Визиты]]&gt;=5,"Средний","Низкий")))</calculatedColumnFormula>
    </tableColumn>
    <tableColumn id="5" name="Рабочий пик" dataDxfId="65">
      <calculatedColumnFormula>IF(AND(visits_daily[[#This Row],[Визиты]]&gt;=10,WEEKDAY(visits_daily[[#This Row],[Период]],2)&lt;=5),"Рабочий пик","Обычный день")</calculatedColumnFormula>
    </tableColumn>
    <tableColumn id="4" name="Мёртвый день" dataDxfId="64">
      <calculatedColumnFormula>IF(OR(visits_daily[[#This Row],[Визиты]]=0,visits_daily[[#This Row],[Визиты]]=1),"Мёртвый день","Нормальный")</calculatedColumnFormula>
    </tableColumn>
    <tableColumn id="6" name="день недели текстом" dataDxfId="63">
      <calculatedColumnFormula>TEXT(visits_daily[[#This Row],[Период]],"дддд")</calculatedColumnFormula>
    </tableColumn>
    <tableColumn id="7" name="Месяц и год текстом" dataDxfId="62">
      <calculatedColumnFormula>TEXT(visits_daily[[#This Row],[Период]],"ММММ ГГГГ")</calculatedColumnFormula>
    </tableColumn>
    <tableColumn id="8" name="номер недели по ISO" dataDxfId="61">
      <calculatedColumnFormula>WEEKNUM(visits_daily[[#This Row],[Период]],2)</calculatedColumnFormula>
    </tableColumn>
    <tableColumn id="9" name="номер дня недели" dataDxfId="60">
      <calculatedColumnFormula>WEEKDAY(visits_daily[[#This Row],[Период]],2)</calculatedColumnFormula>
    </tableColumn>
    <tableColumn id="10" name="номер месяца" dataDxfId="59">
      <calculatedColumnFormula>MONTH(visits_daily[[#This Row],[Период]])</calculatedColumnFormula>
    </tableColumn>
    <tableColumn id="11" name="число месяца" dataDxfId="58">
      <calculatedColumnFormula>DAY(visits_daily[[#This Row],[Период]])</calculatedColumnFormula>
    </tableColumn>
    <tableColumn id="12" name="дней прошло с начала периода" dataDxfId="57">
      <calculatedColumnFormula>visits_daily[[#This Row],[Период]]-MIN(visits_daily[Период])</calculatedColumnFormula>
    </tableColumn>
    <tableColumn id="13" name="дней до/после 21 марта" dataDxfId="56">
      <calculatedColumnFormula>DATE(2026,3,21)-visits_daily[[#This Row],[Период]]</calculatedColumnFormula>
    </tableColumn>
    <tableColumn id="14" name="Нарастающий итог" dataDxfId="18">
      <calculatedColumnFormula>SUM(visits_daily[[#Headers],[Визиты]]:visits_daily[[#This Row],[Визиты]])</calculatedColumnFormula>
    </tableColumn>
    <tableColumn id="15" name="Доля дня в периоде" dataDxfId="15">
      <calculatedColumnFormula>visits_daily[[#This Row],[Визиты]]/SUM(visits_daily[Визиты])</calculatedColumnFormula>
    </tableColumn>
    <tableColumn id="16" name="Прирост день к дню" dataDxfId="17">
      <calculatedColumnFormula>IFERROR((visits_daily[[#This Row],[Визиты]]-OFFSET(visits_daily[[#This Row],[Визиты]],-1,0))/OFFSET(visits_daily[[#This Row],[Визиты]],-1,0),"")</calculatedColumnFormula>
    </tableColumn>
    <tableColumn id="17" name="Отклонение от среднего" dataDxfId="16">
      <calculatedColumnFormula>visits_daily[[#This Row],[Визиты]]-AVERAGE(visits_daily[Визиты])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Таблица7" displayName="Таблица7" ref="A1:H9" totalsRowShown="0" headerRowDxfId="7" headerRowCellStyle="Обычный 2" dataCellStyle="Обычный 2">
  <autoFilter ref="A1:H9"/>
  <tableColumns count="8">
    <tableColumn id="1" name="День недели визита" dataDxfId="13" dataCellStyle="Обычный 2"/>
    <tableColumn id="2" name="Визиты" dataDxfId="12" dataCellStyle="Обычный 2"/>
    <tableColumn id="3" name="Посетители" dataDxfId="11" dataCellStyle="Обычный 2"/>
    <tableColumn id="4" name="Отказы" dataDxfId="10" dataCellStyle="Обычный 2"/>
    <tableColumn id="5" name="Глубина просмотра" dataDxfId="9" dataCellStyle="Обычный 2"/>
    <tableColumn id="6" name="Время на сайте" dataDxfId="8" dataCellStyle="Обычный 2"/>
    <tableColumn id="7" name="Время в секундах" dataDxfId="6" dataCellStyle="Обычный 2">
      <calculatedColumnFormula>HOUR(Таблица7[[#This Row],[Время на сайте]])*3600+MINUTE(Таблица7[[#This Row],[Время на сайте]])*60+SECOND(Таблица7[[#This Row],[Время на сайте]])</calculatedColumnFormula>
    </tableColumn>
    <tableColumn id="8" name="Время в минутах" dataDxfId="5" dataCellStyle="Обычный 2">
      <calculatedColumnFormula>(HOUR(Таблица7[[#This Row],[Время на сайте]])*3600+MINUTE(Таблица7[[#This Row],[Время на сайте]])*60+SECOND(Таблица7[[#This Row],[Время на сайте]]))/60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Таблица2" displayName="Таблица2" ref="A1:N58" totalsRowShown="0" headerRowDxfId="55" headerRowCellStyle="Обычный 2" dataCellStyle="Обычный 2">
  <autoFilter ref="A1:N58"/>
  <tableColumns count="14">
    <tableColumn id="1" name="Страница входа, ур. 1" dataDxfId="54" dataCellStyle="Обычный 2"/>
    <tableColumn id="2" name="Страница входа, ур. 2" dataDxfId="53" dataCellStyle="Обычный 2"/>
    <tableColumn id="3" name="Страница входа, ур. 3" dataDxfId="52" dataCellStyle="Обычный 2"/>
    <tableColumn id="4" name="Страница входа, ур. 4" dataDxfId="51" dataCellStyle="Обычный 2"/>
    <tableColumn id="5" name="Страница входа" dataDxfId="50" dataCellStyle="Обычный 2"/>
    <tableColumn id="6" name="Визиты" dataDxfId="49" dataCellStyle="Обычный 2"/>
    <tableColumn id="7" name="Посетители" dataDxfId="48" dataCellStyle="Обычный 2"/>
    <tableColumn id="8" name="Отказы" dataDxfId="47" dataCellStyle="Обычный 2"/>
    <tableColumn id="9" name="Глубина просмотра" dataDxfId="46" dataCellStyle="Обычный 2"/>
    <tableColumn id="10" name="Время на сайте" dataDxfId="45" dataCellStyle="Обычный 2"/>
    <tableColumn id="11" name="Путь без домена" dataDxfId="44">
      <calculatedColumnFormula>SUBSTITUTE(Таблица2[[#This Row],[Страница входа]],"https://кордо.рф/","")</calculatedColumnFormula>
    </tableColumn>
    <tableColumn id="12" name="Тип страницы" dataDxfId="43" dataCellStyle="Обычный 2">
      <calculatedColumnFormula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calculatedColumnFormula>
    </tableColumn>
    <tableColumn id="13" name="артикул товара из URL" dataDxfId="42" dataCellStyle="Обычный 2">
      <calculatedColumnFormula>IFERROR(
    SUBSTITUTE(
        MID(Таблица2[[#This Row],[Страница входа]],SEARCH("/tovar/",Таблица2[[#This Row],[Страница входа]])+7,100),
        "/",""
    ),
"не товар")</calculatedColumnFormula>
    </tableColumn>
    <tableColumn id="14" name="Ранг страницы по визитам" dataCellStyle="Обычный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Таблица4" displayName="Таблица4" ref="A1:I5" totalsRowShown="0" headerRowDxfId="33" headerRowCellStyle="Обычный 2" dataCellStyle="Обычный 2">
  <autoFilter ref="A1:I5"/>
  <tableColumns count="9">
    <tableColumn id="1" name="Поисковая система" dataDxfId="41" dataCellStyle="Обычный 2"/>
    <tableColumn id="2" name="Поисковая система (детально)" dataDxfId="40" dataCellStyle="Обычный 2"/>
    <tableColumn id="3" name="Поисковая фраза" dataDxfId="39" dataCellStyle="Обычный 2"/>
    <tableColumn id="4" name="Визиты" dataDxfId="38" dataCellStyle="Обычный 2"/>
    <tableColumn id="5" name="Посетители" dataDxfId="37" dataCellStyle="Обычный 2"/>
    <tableColumn id="6" name="Отказы" dataDxfId="36" dataCellStyle="Обычный 2"/>
    <tableColumn id="7" name="Глубина просмотра" dataDxfId="35" dataCellStyle="Обычный 2"/>
    <tableColumn id="8" name="Время на сайте" dataDxfId="34" dataCellStyle="Обычный 2"/>
    <tableColumn id="9" name="Длина Фразы" dataDxfId="32" dataCellStyle="Обычный 2">
      <calculatedColumnFormula>LEN(Таблица4[[#This Row],[Поисковая фраза]])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K10" sqref="K10"/>
    </sheetView>
  </sheetViews>
  <sheetFormatPr defaultRowHeight="15"/>
  <cols>
    <col min="1" max="1" width="51.7109375" customWidth="1"/>
    <col min="2" max="2" width="38.7109375" customWidth="1"/>
    <col min="3" max="3" width="73" bestFit="1" customWidth="1"/>
    <col min="4" max="4" width="39.140625" customWidth="1"/>
    <col min="5" max="5" width="35.28515625" customWidth="1"/>
    <col min="6" max="6" width="97.85546875" bestFit="1" customWidth="1"/>
    <col min="7" max="7" width="99.140625" bestFit="1" customWidth="1"/>
    <col min="8" max="8" width="51.28515625" bestFit="1" customWidth="1"/>
    <col min="9" max="9" width="49.85546875" bestFit="1" customWidth="1"/>
    <col min="10" max="10" width="55.28515625" customWidth="1"/>
    <col min="11" max="11" width="48.28515625" bestFit="1" customWidth="1"/>
  </cols>
  <sheetData>
    <row r="1" spans="1:10" s="64" customFormat="1" ht="18.75">
      <c r="A1" s="64" t="s">
        <v>423</v>
      </c>
      <c r="B1" s="64" t="s">
        <v>424</v>
      </c>
      <c r="C1" s="64" t="s">
        <v>425</v>
      </c>
      <c r="D1" s="64" t="s">
        <v>410</v>
      </c>
      <c r="E1" s="64" t="s">
        <v>411</v>
      </c>
      <c r="F1" s="64" t="s">
        <v>412</v>
      </c>
      <c r="G1" s="64" t="s">
        <v>426</v>
      </c>
      <c r="H1" s="64" t="s">
        <v>413</v>
      </c>
      <c r="I1" s="64" t="s">
        <v>414</v>
      </c>
      <c r="J1" s="64" t="s">
        <v>415</v>
      </c>
    </row>
    <row r="2" spans="1:10" s="65" customFormat="1" ht="15.75">
      <c r="A2" s="63">
        <f>COUNTIF(visits_daily[Визиты],"&gt;10")</f>
        <v>8</v>
      </c>
      <c r="B2" s="65">
        <f>COUNTIF(visits_daily[Визиты],0)</f>
        <v>7</v>
      </c>
      <c r="C2" s="65" t="s">
        <v>420</v>
      </c>
      <c r="D2" s="65">
        <f>SUMIF(visits_daily[Период],"&gt;="&amp;DATE(2026,3,21),visits_daily[Визиты])</f>
        <v>143</v>
      </c>
      <c r="E2" s="65">
        <f>SUMIF(visits_daily[Период],"&lt;"&amp;DATE(2026,3,21),visits_daily[Визиты])</f>
        <v>161</v>
      </c>
      <c r="F2" s="65" t="s">
        <v>421</v>
      </c>
      <c r="G2" s="65" t="s">
        <v>422</v>
      </c>
      <c r="H2" s="65">
        <f>AVERAGEIF(visits_daily[Период],"&gt;="&amp;DATE(2026,4,1),visits_daily[Визиты])</f>
        <v>2.0882352941176472</v>
      </c>
    </row>
    <row r="8" spans="1:10" ht="15.75">
      <c r="H8" s="6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zoomScale="130" zoomScaleNormal="130" workbookViewId="0">
      <selection activeCell="J6" sqref="J6"/>
    </sheetView>
  </sheetViews>
  <sheetFormatPr defaultRowHeight="15"/>
  <cols>
    <col min="1" max="1" width="10.85546875" style="7" bestFit="1" customWidth="1"/>
    <col min="2" max="2" width="17.42578125" bestFit="1" customWidth="1"/>
    <col min="3" max="3" width="27.5703125" bestFit="1" customWidth="1"/>
    <col min="4" max="4" width="32.5703125" bestFit="1" customWidth="1"/>
    <col min="5" max="5" width="32.140625" bestFit="1" customWidth="1"/>
    <col min="6" max="6" width="20.5703125" bestFit="1" customWidth="1"/>
  </cols>
  <sheetData>
    <row r="1" spans="1:6">
      <c r="A1" s="7" t="s">
        <v>0</v>
      </c>
      <c r="B1" s="7" t="s">
        <v>452</v>
      </c>
      <c r="C1" s="7" t="s">
        <v>439</v>
      </c>
      <c r="D1" s="7" t="s">
        <v>440</v>
      </c>
      <c r="E1" s="7" t="s">
        <v>441</v>
      </c>
      <c r="F1" s="7" t="s">
        <v>442</v>
      </c>
    </row>
    <row r="2" spans="1:6">
      <c r="A2" s="7">
        <v>46082</v>
      </c>
      <c r="B2" s="72">
        <f>IFERROR(VLOOKUP(A2,visits_daily[[Период]:[Визиты]],2,FALSE),0)</f>
        <v>3</v>
      </c>
      <c r="C2" s="72">
        <f>IFERROR(VLOOKUP(A2,visits_daily[[Период]:[Визиты]],2,FALSE),0)</f>
        <v>3</v>
      </c>
      <c r="D2" s="72">
        <f>MATCH(MAX(visits_daily[Визиты]),visits_daily[Визиты],0)</f>
        <v>4</v>
      </c>
      <c r="E2" s="7">
        <f>INDEX(visits_daily[Период],MATCH(MAX(visits_daily[Визиты]),visits_daily[Визиты],0))</f>
        <v>46085</v>
      </c>
      <c r="F2" s="59">
        <f>IF(B2=0,0,IFERROR(VLOOKUP(A2,conversions_daily[[Период]:[ЦелевыеВизиты]],2,FALSE),0)/B2)</f>
        <v>0</v>
      </c>
    </row>
    <row r="3" spans="1:6">
      <c r="A3" s="7">
        <v>46083</v>
      </c>
      <c r="B3" s="72">
        <f>IFERROR(VLOOKUP(A3,visits_daily[[Период]:[Визиты]],2,FALSE),0)</f>
        <v>0</v>
      </c>
      <c r="C3" s="72">
        <f>IFERROR(VLOOKUP(A3,visits_daily[[Период]:[Визиты]],2,FALSE),0)</f>
        <v>0</v>
      </c>
      <c r="D3" s="72">
        <f>MATCH(MAX(visits_daily[Визиты]),visits_daily[Визиты],0)</f>
        <v>4</v>
      </c>
      <c r="E3" s="7">
        <f>INDEX(visits_daily[Период],MATCH(MAX(visits_daily[Визиты]),visits_daily[Визиты],0))</f>
        <v>46085</v>
      </c>
      <c r="F3" s="59">
        <f>IF(B3=0,0,IFERROR(VLOOKUP(A3,conversions_daily[[Период]:[ЦелевыеВизиты]],2,FALSE),0)/B3)</f>
        <v>0</v>
      </c>
    </row>
    <row r="4" spans="1:6">
      <c r="A4" s="7">
        <v>46084</v>
      </c>
      <c r="B4" s="72">
        <f>IFERROR(VLOOKUP(A4,visits_daily[[Период]:[Визиты]],2,FALSE),0)</f>
        <v>23</v>
      </c>
      <c r="C4" s="72">
        <f>IFERROR(VLOOKUP(A4,visits_daily[[Период]:[Визиты]],2,FALSE),0)</f>
        <v>23</v>
      </c>
      <c r="D4" s="72">
        <f>MATCH(MAX(visits_daily[Визиты]),visits_daily[Визиты],0)</f>
        <v>4</v>
      </c>
      <c r="E4" s="7">
        <f>INDEX(visits_daily[Период],MATCH(MAX(visits_daily[Визиты]),visits_daily[Визиты],0))</f>
        <v>46085</v>
      </c>
      <c r="F4" s="59">
        <f>IF(B4=0,0,IFERROR(VLOOKUP(A4,conversions_daily[[Период]:[ЦелевыеВизиты]],2,FALSE),0)/B4)</f>
        <v>0</v>
      </c>
    </row>
    <row r="5" spans="1:6">
      <c r="A5" s="7">
        <v>46085</v>
      </c>
      <c r="B5" s="72">
        <f>IFERROR(VLOOKUP(A5,visits_daily[[Период]:[Визиты]],2,FALSE),0)</f>
        <v>26</v>
      </c>
      <c r="C5" s="72">
        <f>IFERROR(VLOOKUP(A5,visits_daily[[Период]:[Визиты]],2,FALSE),0)</f>
        <v>26</v>
      </c>
      <c r="D5" s="72">
        <f>MATCH(MAX(visits_daily[Визиты]),visits_daily[Визиты],0)</f>
        <v>4</v>
      </c>
      <c r="E5" s="7">
        <f>INDEX(visits_daily[Период],MATCH(MAX(visits_daily[Визиты]),visits_daily[Визиты],0))</f>
        <v>46085</v>
      </c>
      <c r="F5" s="59">
        <f>IF(B5=0,0,IFERROR(VLOOKUP(A5,conversions_daily[[Период]:[ЦелевыеВизиты]],2,FALSE),0)/B5)</f>
        <v>7.6923076923076927E-2</v>
      </c>
    </row>
    <row r="6" spans="1:6">
      <c r="A6" s="7">
        <v>46086</v>
      </c>
      <c r="B6" s="72">
        <f>IFERROR(VLOOKUP(A6,visits_daily[[Период]:[Визиты]],2,FALSE),0)</f>
        <v>7</v>
      </c>
      <c r="C6" s="72">
        <f>IFERROR(VLOOKUP(A6,visits_daily[[Период]:[Визиты]],2,FALSE),0)</f>
        <v>7</v>
      </c>
      <c r="D6" s="72">
        <f>MATCH(MAX(visits_daily[Визиты]),visits_daily[Визиты],0)</f>
        <v>4</v>
      </c>
      <c r="E6" s="7">
        <f>INDEX(visits_daily[Период],MATCH(MAX(visits_daily[Визиты]),visits_daily[Визиты],0))</f>
        <v>46085</v>
      </c>
      <c r="F6" s="59">
        <f>IF(B6=0,0,IFERROR(VLOOKUP(A6,conversions_daily[[Период]:[ЦелевыеВизиты]],2,FALSE),0)/B6)</f>
        <v>0.14285714285714285</v>
      </c>
    </row>
    <row r="7" spans="1:6">
      <c r="A7" s="7">
        <v>46087</v>
      </c>
      <c r="B7" s="72">
        <f>IFERROR(VLOOKUP(A7,visits_daily[[Период]:[Визиты]],2,FALSE),0)</f>
        <v>5</v>
      </c>
      <c r="C7" s="72">
        <f>IFERROR(VLOOKUP(A7,visits_daily[[Период]:[Визиты]],2,FALSE),0)</f>
        <v>5</v>
      </c>
      <c r="D7" s="72">
        <f>MATCH(MAX(visits_daily[Визиты]),visits_daily[Визиты],0)</f>
        <v>4</v>
      </c>
      <c r="E7" s="7">
        <f>INDEX(visits_daily[Период],MATCH(MAX(visits_daily[Визиты]),visits_daily[Визиты],0))</f>
        <v>46085</v>
      </c>
      <c r="F7" s="59">
        <f>IF(B7=0,0,IFERROR(VLOOKUP(A7,conversions_daily[[Период]:[ЦелевыеВизиты]],2,FALSE),0)/B7)</f>
        <v>0</v>
      </c>
    </row>
    <row r="8" spans="1:6">
      <c r="A8" s="7">
        <v>46088</v>
      </c>
      <c r="B8" s="72">
        <f>IFERROR(VLOOKUP(A8,visits_daily[[Период]:[Визиты]],2,FALSE),0)</f>
        <v>4</v>
      </c>
      <c r="C8" s="72">
        <f>IFERROR(VLOOKUP(A8,visits_daily[[Период]:[Визиты]],2,FALSE),0)</f>
        <v>4</v>
      </c>
      <c r="D8" s="72">
        <f>MATCH(MAX(visits_daily[Визиты]),visits_daily[Визиты],0)</f>
        <v>4</v>
      </c>
      <c r="E8" s="7">
        <f>INDEX(visits_daily[Период],MATCH(MAX(visits_daily[Визиты]),visits_daily[Визиты],0))</f>
        <v>46085</v>
      </c>
      <c r="F8" s="59">
        <f>IF(B8=0,0,IFERROR(VLOOKUP(A8,conversions_daily[[Период]:[ЦелевыеВизиты]],2,FALSE),0)/B8)</f>
        <v>0</v>
      </c>
    </row>
    <row r="9" spans="1:6">
      <c r="A9" s="7">
        <v>46089</v>
      </c>
      <c r="B9" s="72">
        <f>IFERROR(VLOOKUP(A9,visits_daily[[Период]:[Визиты]],2,FALSE),0)</f>
        <v>1</v>
      </c>
      <c r="C9" s="72">
        <f>IFERROR(VLOOKUP(A9,visits_daily[[Период]:[Визиты]],2,FALSE),0)</f>
        <v>1</v>
      </c>
      <c r="D9" s="72">
        <f>MATCH(MAX(visits_daily[Визиты]),visits_daily[Визиты],0)</f>
        <v>4</v>
      </c>
      <c r="E9" s="7">
        <f>INDEX(visits_daily[Период],MATCH(MAX(visits_daily[Визиты]),visits_daily[Визиты],0))</f>
        <v>46085</v>
      </c>
      <c r="F9" s="59">
        <f>IF(B9=0,0,IFERROR(VLOOKUP(A9,conversions_daily[[Период]:[ЦелевыеВизиты]],2,FALSE),0)/B9)</f>
        <v>0</v>
      </c>
    </row>
    <row r="10" spans="1:6">
      <c r="A10" s="7">
        <v>46090</v>
      </c>
      <c r="B10" s="72">
        <f>IFERROR(VLOOKUP(A10,visits_daily[[Период]:[Визиты]],2,FALSE),0)</f>
        <v>2</v>
      </c>
      <c r="C10" s="72">
        <f>IFERROR(VLOOKUP(A10,visits_daily[[Период]:[Визиты]],2,FALSE),0)</f>
        <v>2</v>
      </c>
      <c r="D10" s="72">
        <f>MATCH(MAX(visits_daily[Визиты]),visits_daily[Визиты],0)</f>
        <v>4</v>
      </c>
      <c r="E10" s="7">
        <f>INDEX(visits_daily[Период],MATCH(MAX(visits_daily[Визиты]),visits_daily[Визиты],0))</f>
        <v>46085</v>
      </c>
      <c r="F10" s="59">
        <f>IF(B10=0,0,IFERROR(VLOOKUP(A10,conversions_daily[[Период]:[ЦелевыеВизиты]],2,FALSE),0)/B10)</f>
        <v>0</v>
      </c>
    </row>
    <row r="11" spans="1:6">
      <c r="A11" s="7">
        <v>46091</v>
      </c>
      <c r="B11" s="72">
        <f>IFERROR(VLOOKUP(A11,visits_daily[[Период]:[Визиты]],2,FALSE),0)</f>
        <v>21</v>
      </c>
      <c r="C11" s="72">
        <f>IFERROR(VLOOKUP(A11,visits_daily[[Период]:[Визиты]],2,FALSE),0)</f>
        <v>21</v>
      </c>
      <c r="D11" s="72">
        <f>MATCH(MAX(visits_daily[Визиты]),visits_daily[Визиты],0)</f>
        <v>4</v>
      </c>
      <c r="E11" s="7">
        <f>INDEX(visits_daily[Период],MATCH(MAX(visits_daily[Визиты]),visits_daily[Визиты],0))</f>
        <v>46085</v>
      </c>
      <c r="F11" s="59">
        <f>IF(B11=0,0,IFERROR(VLOOKUP(A11,conversions_daily[[Период]:[ЦелевыеВизиты]],2,FALSE),0)/B11)</f>
        <v>0.23809523809523808</v>
      </c>
    </row>
    <row r="12" spans="1:6">
      <c r="A12" s="7">
        <v>46092</v>
      </c>
      <c r="B12" s="72">
        <f>IFERROR(VLOOKUP(A12,visits_daily[[Период]:[Визиты]],2,FALSE),0)</f>
        <v>5</v>
      </c>
      <c r="C12" s="72">
        <f>IFERROR(VLOOKUP(A12,visits_daily[[Период]:[Визиты]],2,FALSE),0)</f>
        <v>5</v>
      </c>
      <c r="D12" s="72">
        <f>MATCH(MAX(visits_daily[Визиты]),visits_daily[Визиты],0)</f>
        <v>4</v>
      </c>
      <c r="E12" s="7">
        <f>INDEX(visits_daily[Период],MATCH(MAX(visits_daily[Визиты]),visits_daily[Визиты],0))</f>
        <v>46085</v>
      </c>
      <c r="F12" s="59">
        <f>IF(B12=0,0,IFERROR(VLOOKUP(A12,conversions_daily[[Период]:[ЦелевыеВизиты]],2,FALSE),0)/B12)</f>
        <v>0</v>
      </c>
    </row>
    <row r="13" spans="1:6">
      <c r="A13" s="7">
        <v>46093</v>
      </c>
      <c r="B13" s="72">
        <f>IFERROR(VLOOKUP(A13,visits_daily[[Период]:[Визиты]],2,FALSE),0)</f>
        <v>2</v>
      </c>
      <c r="C13" s="72">
        <f>IFERROR(VLOOKUP(A13,visits_daily[[Период]:[Визиты]],2,FALSE),0)</f>
        <v>2</v>
      </c>
      <c r="D13" s="72">
        <f>MATCH(MAX(visits_daily[Визиты]),visits_daily[Визиты],0)</f>
        <v>4</v>
      </c>
      <c r="E13" s="7">
        <f>INDEX(visits_daily[Период],MATCH(MAX(visits_daily[Визиты]),visits_daily[Визиты],0))</f>
        <v>46085</v>
      </c>
      <c r="F13" s="59">
        <f>IF(B13=0,0,IFERROR(VLOOKUP(A13,conversions_daily[[Период]:[ЦелевыеВизиты]],2,FALSE),0)/B13)</f>
        <v>0</v>
      </c>
    </row>
    <row r="14" spans="1:6">
      <c r="A14" s="7">
        <v>46094</v>
      </c>
      <c r="B14" s="72">
        <f>IFERROR(VLOOKUP(A14,visits_daily[[Период]:[Визиты]],2,FALSE),0)</f>
        <v>1</v>
      </c>
      <c r="C14" s="72">
        <f>IFERROR(VLOOKUP(A14,visits_daily[[Период]:[Визиты]],2,FALSE),0)</f>
        <v>1</v>
      </c>
      <c r="D14" s="72">
        <f>MATCH(MAX(visits_daily[Визиты]),visits_daily[Визиты],0)</f>
        <v>4</v>
      </c>
      <c r="E14" s="7">
        <f>INDEX(visits_daily[Период],MATCH(MAX(visits_daily[Визиты]),visits_daily[Визиты],0))</f>
        <v>46085</v>
      </c>
      <c r="F14" s="59">
        <f>IF(B14=0,0,IFERROR(VLOOKUP(A14,conversions_daily[[Период]:[ЦелевыеВизиты]],2,FALSE),0)/B14)</f>
        <v>0</v>
      </c>
    </row>
    <row r="15" spans="1:6">
      <c r="A15" s="7">
        <v>46095</v>
      </c>
      <c r="B15" s="72">
        <f>IFERROR(VLOOKUP(A15,visits_daily[[Период]:[Визиты]],2,FALSE),0)</f>
        <v>6</v>
      </c>
      <c r="C15" s="72">
        <f>IFERROR(VLOOKUP(A15,visits_daily[[Период]:[Визиты]],2,FALSE),0)</f>
        <v>6</v>
      </c>
      <c r="D15" s="72">
        <f>MATCH(MAX(visits_daily[Визиты]),visits_daily[Визиты],0)</f>
        <v>4</v>
      </c>
      <c r="E15" s="7">
        <f>INDEX(visits_daily[Период],MATCH(MAX(visits_daily[Визиты]),visits_daily[Визиты],0))</f>
        <v>46085</v>
      </c>
      <c r="F15" s="59">
        <f>IF(B15=0,0,IFERROR(VLOOKUP(A15,conversions_daily[[Период]:[ЦелевыеВизиты]],2,FALSE),0)/B15)</f>
        <v>0</v>
      </c>
    </row>
    <row r="16" spans="1:6">
      <c r="A16" s="7">
        <v>46096</v>
      </c>
      <c r="B16" s="72">
        <f>IFERROR(VLOOKUP(A16,visits_daily[[Период]:[Визиты]],2,FALSE),0)</f>
        <v>1</v>
      </c>
      <c r="C16" s="72">
        <f>IFERROR(VLOOKUP(A16,visits_daily[[Период]:[Визиты]],2,FALSE),0)</f>
        <v>1</v>
      </c>
      <c r="D16" s="72">
        <f>MATCH(MAX(visits_daily[Визиты]),visits_daily[Визиты],0)</f>
        <v>4</v>
      </c>
      <c r="E16" s="7">
        <f>INDEX(visits_daily[Период],MATCH(MAX(visits_daily[Визиты]),visits_daily[Визиты],0))</f>
        <v>46085</v>
      </c>
      <c r="F16" s="59">
        <f>IF(B16=0,0,IFERROR(VLOOKUP(A16,conversions_daily[[Период]:[ЦелевыеВизиты]],2,FALSE),0)/B16)</f>
        <v>0</v>
      </c>
    </row>
    <row r="17" spans="1:6">
      <c r="A17" s="7">
        <v>46097</v>
      </c>
      <c r="B17" s="72">
        <f>IFERROR(VLOOKUP(A17,visits_daily[[Период]:[Визиты]],2,FALSE),0)</f>
        <v>8</v>
      </c>
      <c r="C17" s="72">
        <f>IFERROR(VLOOKUP(A17,visits_daily[[Период]:[Визиты]],2,FALSE),0)</f>
        <v>8</v>
      </c>
      <c r="D17" s="72">
        <f>MATCH(MAX(visits_daily[Визиты]),visits_daily[Визиты],0)</f>
        <v>4</v>
      </c>
      <c r="E17" s="7">
        <f>INDEX(visits_daily[Период],MATCH(MAX(visits_daily[Визиты]),visits_daily[Визиты],0))</f>
        <v>46085</v>
      </c>
      <c r="F17" s="59">
        <f>IF(B17=0,0,IFERROR(VLOOKUP(A17,conversions_daily[[Период]:[ЦелевыеВизиты]],2,FALSE),0)/B17)</f>
        <v>0.125</v>
      </c>
    </row>
    <row r="18" spans="1:6">
      <c r="A18" s="7">
        <v>46098</v>
      </c>
      <c r="B18" s="72">
        <f>IFERROR(VLOOKUP(A18,visits_daily[[Период]:[Визиты]],2,FALSE),0)</f>
        <v>6</v>
      </c>
      <c r="C18" s="72">
        <f>IFERROR(VLOOKUP(A18,visits_daily[[Период]:[Визиты]],2,FALSE),0)</f>
        <v>6</v>
      </c>
      <c r="D18" s="72">
        <f>MATCH(MAX(visits_daily[Визиты]),visits_daily[Визиты],0)</f>
        <v>4</v>
      </c>
      <c r="E18" s="7">
        <f>INDEX(visits_daily[Период],MATCH(MAX(visits_daily[Визиты]),visits_daily[Визиты],0))</f>
        <v>46085</v>
      </c>
      <c r="F18" s="59">
        <f>IF(B18=0,0,IFERROR(VLOOKUP(A18,conversions_daily[[Период]:[ЦелевыеВизиты]],2,FALSE),0)/B18)</f>
        <v>0</v>
      </c>
    </row>
    <row r="19" spans="1:6">
      <c r="A19" s="7">
        <v>46099</v>
      </c>
      <c r="B19" s="72">
        <f>IFERROR(VLOOKUP(A19,visits_daily[[Период]:[Визиты]],2,FALSE),0)</f>
        <v>12</v>
      </c>
      <c r="C19" s="72">
        <f>IFERROR(VLOOKUP(A19,visits_daily[[Период]:[Визиты]],2,FALSE),0)</f>
        <v>12</v>
      </c>
      <c r="D19" s="72">
        <f>MATCH(MAX(visits_daily[Визиты]),visits_daily[Визиты],0)</f>
        <v>4</v>
      </c>
      <c r="E19" s="7">
        <f>INDEX(visits_daily[Период],MATCH(MAX(visits_daily[Визиты]),visits_daily[Визиты],0))</f>
        <v>46085</v>
      </c>
      <c r="F19" s="59">
        <f>IF(B19=0,0,IFERROR(VLOOKUP(A19,conversions_daily[[Период]:[ЦелевыеВизиты]],2,FALSE),0)/B19)</f>
        <v>0.41666666666666669</v>
      </c>
    </row>
    <row r="20" spans="1:6">
      <c r="A20" s="7">
        <v>46100</v>
      </c>
      <c r="B20" s="72">
        <f>IFERROR(VLOOKUP(A20,visits_daily[[Период]:[Визиты]],2,FALSE),0)</f>
        <v>14</v>
      </c>
      <c r="C20" s="72">
        <f>IFERROR(VLOOKUP(A20,visits_daily[[Период]:[Визиты]],2,FALSE),0)</f>
        <v>14</v>
      </c>
      <c r="D20" s="72">
        <f>MATCH(MAX(visits_daily[Визиты]),visits_daily[Визиты],0)</f>
        <v>4</v>
      </c>
      <c r="E20" s="7">
        <f>INDEX(visits_daily[Период],MATCH(MAX(visits_daily[Визиты]),visits_daily[Визиты],0))</f>
        <v>46085</v>
      </c>
      <c r="F20" s="59">
        <f>IF(B20=0,0,IFERROR(VLOOKUP(A20,conversions_daily[[Период]:[ЦелевыеВизиты]],2,FALSE),0)/B20)</f>
        <v>0.2857142857142857</v>
      </c>
    </row>
    <row r="21" spans="1:6">
      <c r="A21" s="7">
        <v>46101</v>
      </c>
      <c r="B21" s="72">
        <f>IFERROR(VLOOKUP(A21,visits_daily[[Период]:[Визиты]],2,FALSE),0)</f>
        <v>14</v>
      </c>
      <c r="C21" s="72">
        <f>IFERROR(VLOOKUP(A21,visits_daily[[Период]:[Визиты]],2,FALSE),0)</f>
        <v>14</v>
      </c>
      <c r="D21" s="72">
        <f>MATCH(MAX(visits_daily[Визиты]),visits_daily[Визиты],0)</f>
        <v>4</v>
      </c>
      <c r="E21" s="7">
        <f>INDEX(visits_daily[Период],MATCH(MAX(visits_daily[Визиты]),visits_daily[Визиты],0))</f>
        <v>46085</v>
      </c>
      <c r="F21" s="59">
        <f>IF(B21=0,0,IFERROR(VLOOKUP(A21,conversions_daily[[Период]:[ЦелевыеВизиты]],2,FALSE),0)/B21)</f>
        <v>0.35714285714285715</v>
      </c>
    </row>
    <row r="22" spans="1:6">
      <c r="A22" s="7">
        <v>46102</v>
      </c>
      <c r="B22" s="72">
        <f>IFERROR(VLOOKUP(A22,visits_daily[[Период]:[Визиты]],2,FALSE),0)</f>
        <v>9</v>
      </c>
      <c r="C22" s="72">
        <f>IFERROR(VLOOKUP(A22,visits_daily[[Период]:[Визиты]],2,FALSE),0)</f>
        <v>9</v>
      </c>
      <c r="D22" s="72">
        <f>MATCH(MAX(visits_daily[Визиты]),visits_daily[Визиты],0)</f>
        <v>4</v>
      </c>
      <c r="E22" s="7">
        <f>INDEX(visits_daily[Период],MATCH(MAX(visits_daily[Визиты]),visits_daily[Визиты],0))</f>
        <v>46085</v>
      </c>
      <c r="F22" s="59">
        <f>IF(B22=0,0,IFERROR(VLOOKUP(A22,conversions_daily[[Период]:[ЦелевыеВизиты]],2,FALSE),0)/B22)</f>
        <v>0.22222222222222221</v>
      </c>
    </row>
    <row r="23" spans="1:6">
      <c r="A23" s="7">
        <v>46103</v>
      </c>
      <c r="B23" s="72">
        <f>IFERROR(VLOOKUP(A23,visits_daily[[Период]:[Визиты]],2,FALSE),0)</f>
        <v>5</v>
      </c>
      <c r="C23" s="72">
        <f>IFERROR(VLOOKUP(A23,visits_daily[[Период]:[Визиты]],2,FALSE),0)</f>
        <v>5</v>
      </c>
      <c r="D23" s="72">
        <f>MATCH(MAX(visits_daily[Визиты]),visits_daily[Визиты],0)</f>
        <v>4</v>
      </c>
      <c r="E23" s="7">
        <f>INDEX(visits_daily[Период],MATCH(MAX(visits_daily[Визиты]),visits_daily[Визиты],0))</f>
        <v>46085</v>
      </c>
      <c r="F23" s="59">
        <f>IF(B23=0,0,IFERROR(VLOOKUP(A23,conversions_daily[[Период]:[ЦелевыеВизиты]],2,FALSE),0)/B23)</f>
        <v>0</v>
      </c>
    </row>
    <row r="24" spans="1:6">
      <c r="A24" s="7">
        <v>46104</v>
      </c>
      <c r="B24" s="72">
        <f>IFERROR(VLOOKUP(A24,visits_daily[[Период]:[Визиты]],2,FALSE),0)</f>
        <v>1</v>
      </c>
      <c r="C24" s="72">
        <f>IFERROR(VLOOKUP(A24,visits_daily[[Период]:[Визиты]],2,FALSE),0)</f>
        <v>1</v>
      </c>
      <c r="D24" s="72">
        <f>MATCH(MAX(visits_daily[Визиты]),visits_daily[Визиты],0)</f>
        <v>4</v>
      </c>
      <c r="E24" s="7">
        <f>INDEX(visits_daily[Период],MATCH(MAX(visits_daily[Визиты]),visits_daily[Визиты],0))</f>
        <v>46085</v>
      </c>
      <c r="F24" s="59">
        <f>IF(B24=0,0,IFERROR(VLOOKUP(A24,conversions_daily[[Период]:[ЦелевыеВизиты]],2,FALSE),0)/B24)</f>
        <v>0</v>
      </c>
    </row>
    <row r="25" spans="1:6">
      <c r="A25" s="7">
        <v>46105</v>
      </c>
      <c r="B25" s="72">
        <f>IFERROR(VLOOKUP(A25,visits_daily[[Период]:[Визиты]],2,FALSE),0)</f>
        <v>6</v>
      </c>
      <c r="C25" s="72">
        <f>IFERROR(VLOOKUP(A25,visits_daily[[Период]:[Визиты]],2,FALSE),0)</f>
        <v>6</v>
      </c>
      <c r="D25" s="72">
        <f>MATCH(MAX(visits_daily[Визиты]),visits_daily[Визиты],0)</f>
        <v>4</v>
      </c>
      <c r="E25" s="7">
        <f>INDEX(visits_daily[Период],MATCH(MAX(visits_daily[Визиты]),visits_daily[Визиты],0))</f>
        <v>46085</v>
      </c>
      <c r="F25" s="59">
        <f>IF(B25=0,0,IFERROR(VLOOKUP(A25,conversions_daily[[Период]:[ЦелевыеВизиты]],2,FALSE),0)/B25)</f>
        <v>0</v>
      </c>
    </row>
    <row r="26" spans="1:6">
      <c r="A26" s="7">
        <v>46106</v>
      </c>
      <c r="B26" s="72">
        <f>IFERROR(VLOOKUP(A26,visits_daily[[Период]:[Визиты]],2,FALSE),0)</f>
        <v>14</v>
      </c>
      <c r="C26" s="72">
        <f>IFERROR(VLOOKUP(A26,visits_daily[[Период]:[Визиты]],2,FALSE),0)</f>
        <v>14</v>
      </c>
      <c r="D26" s="72">
        <f>MATCH(MAX(visits_daily[Визиты]),visits_daily[Визиты],0)</f>
        <v>4</v>
      </c>
      <c r="E26" s="7">
        <f>INDEX(visits_daily[Период],MATCH(MAX(visits_daily[Визиты]),visits_daily[Визиты],0))</f>
        <v>46085</v>
      </c>
      <c r="F26" s="59">
        <f>IF(B26=0,0,IFERROR(VLOOKUP(A26,conversions_daily[[Период]:[ЦелевыеВизиты]],2,FALSE),0)/B26)</f>
        <v>0</v>
      </c>
    </row>
    <row r="27" spans="1:6">
      <c r="A27" s="7">
        <v>46107</v>
      </c>
      <c r="B27" s="72">
        <f>IFERROR(VLOOKUP(A27,visits_daily[[Период]:[Визиты]],2,FALSE),0)</f>
        <v>10</v>
      </c>
      <c r="C27" s="72">
        <f>IFERROR(VLOOKUP(A27,visits_daily[[Период]:[Визиты]],2,FALSE),0)</f>
        <v>10</v>
      </c>
      <c r="D27" s="72">
        <f>MATCH(MAX(visits_daily[Визиты]),visits_daily[Визиты],0)</f>
        <v>4</v>
      </c>
      <c r="E27" s="7">
        <f>INDEX(visits_daily[Период],MATCH(MAX(visits_daily[Визиты]),visits_daily[Визиты],0))</f>
        <v>46085</v>
      </c>
      <c r="F27" s="59">
        <f>IF(B27=0,0,IFERROR(VLOOKUP(A27,conversions_daily[[Период]:[ЦелевыеВизиты]],2,FALSE),0)/B27)</f>
        <v>0</v>
      </c>
    </row>
    <row r="28" spans="1:6">
      <c r="A28" s="7">
        <v>46108</v>
      </c>
      <c r="B28" s="72">
        <f>IFERROR(VLOOKUP(A28,visits_daily[[Период]:[Визиты]],2,FALSE),0)</f>
        <v>17</v>
      </c>
      <c r="C28" s="72">
        <f>IFERROR(VLOOKUP(A28,visits_daily[[Период]:[Визиты]],2,FALSE),0)</f>
        <v>17</v>
      </c>
      <c r="D28" s="72">
        <f>MATCH(MAX(visits_daily[Визиты]),visits_daily[Визиты],0)</f>
        <v>4</v>
      </c>
      <c r="E28" s="7">
        <f>INDEX(visits_daily[Период],MATCH(MAX(visits_daily[Визиты]),visits_daily[Визиты],0))</f>
        <v>46085</v>
      </c>
      <c r="F28" s="66">
        <f>IF(B28=0,0,IFERROR(VLOOKUP(A28,conversions_daily[[Период]:[ЦелевыеВизиты]],2,FALSE),0)/B28)</f>
        <v>0</v>
      </c>
    </row>
    <row r="29" spans="1:6">
      <c r="A29" s="7">
        <v>46109</v>
      </c>
      <c r="B29" s="72">
        <f>IFERROR(VLOOKUP(A29,visits_daily[[Период]:[Визиты]],2,FALSE),0)</f>
        <v>6</v>
      </c>
      <c r="C29" s="72">
        <f>IFERROR(VLOOKUP(A29,visits_daily[[Период]:[Визиты]],2,FALSE),0)</f>
        <v>6</v>
      </c>
      <c r="D29" s="72">
        <f>MATCH(MAX(visits_daily[Визиты]),visits_daily[Визиты],0)</f>
        <v>4</v>
      </c>
      <c r="E29" s="7">
        <f>INDEX(visits_daily[Период],MATCH(MAX(visits_daily[Визиты]),visits_daily[Визиты],0))</f>
        <v>46085</v>
      </c>
      <c r="F29" s="66">
        <f>IF(B29=0,0,IFERROR(VLOOKUP(A29,conversions_daily[[Период]:[ЦелевыеВизиты]],2,FALSE),0)/B29)</f>
        <v>0</v>
      </c>
    </row>
    <row r="30" spans="1:6">
      <c r="A30" s="7">
        <v>46110</v>
      </c>
      <c r="B30" s="72">
        <f>IFERROR(VLOOKUP(A30,visits_daily[[Период]:[Визиты]],2,FALSE),0)</f>
        <v>1</v>
      </c>
      <c r="C30" s="72">
        <f>IFERROR(VLOOKUP(A30,visits_daily[[Период]:[Визиты]],2,FALSE),0)</f>
        <v>1</v>
      </c>
      <c r="D30" s="72">
        <f>MATCH(MAX(visits_daily[Визиты]),visits_daily[Визиты],0)</f>
        <v>4</v>
      </c>
      <c r="E30" s="7">
        <f>INDEX(visits_daily[Период],MATCH(MAX(visits_daily[Визиты]),visits_daily[Визиты],0))</f>
        <v>46085</v>
      </c>
      <c r="F30" s="66">
        <f>IF(B30=0,0,IFERROR(VLOOKUP(A30,conversions_daily[[Период]:[ЦелевыеВизиты]],2,FALSE),0)/B30)</f>
        <v>0</v>
      </c>
    </row>
    <row r="31" spans="1:6">
      <c r="A31" s="7">
        <v>46111</v>
      </c>
      <c r="B31" s="72">
        <f>IFERROR(VLOOKUP(A31,visits_daily[[Период]:[Визиты]],2,FALSE),0)</f>
        <v>1</v>
      </c>
      <c r="C31" s="72">
        <f>IFERROR(VLOOKUP(A31,visits_daily[[Период]:[Визиты]],2,FALSE),0)</f>
        <v>1</v>
      </c>
      <c r="D31" s="72">
        <f>MATCH(MAX(visits_daily[Визиты]),visits_daily[Визиты],0)</f>
        <v>4</v>
      </c>
      <c r="E31" s="7">
        <f>INDEX(visits_daily[Период],MATCH(MAX(visits_daily[Визиты]),visits_daily[Визиты],0))</f>
        <v>46085</v>
      </c>
      <c r="F31" s="66">
        <f>IF(B31=0,0,IFERROR(VLOOKUP(A31,conversions_daily[[Период]:[ЦелевыеВизиты]],2,FALSE),0)/B31)</f>
        <v>0</v>
      </c>
    </row>
    <row r="32" spans="1:6">
      <c r="A32" s="7">
        <v>46112</v>
      </c>
      <c r="B32" s="72">
        <f>IFERROR(VLOOKUP(A32,visits_daily[[Период]:[Визиты]],2,FALSE),0)</f>
        <v>2</v>
      </c>
      <c r="C32" s="72">
        <f>IFERROR(VLOOKUP(A32,visits_daily[[Период]:[Визиты]],2,FALSE),0)</f>
        <v>2</v>
      </c>
      <c r="D32" s="72">
        <f>MATCH(MAX(visits_daily[Визиты]),visits_daily[Визиты],0)</f>
        <v>4</v>
      </c>
      <c r="E32" s="7">
        <f>INDEX(visits_daily[Период],MATCH(MAX(visits_daily[Визиты]),visits_daily[Визиты],0))</f>
        <v>46085</v>
      </c>
      <c r="F32" s="66">
        <f>IF(B32=0,0,IFERROR(VLOOKUP(A32,conversions_daily[[Период]:[ЦелевыеВизиты]],2,FALSE),0)/B32)</f>
        <v>0</v>
      </c>
    </row>
    <row r="33" spans="1:6">
      <c r="A33" s="7">
        <v>46113</v>
      </c>
      <c r="B33" s="72">
        <f>IFERROR(VLOOKUP(A33,visits_daily[[Период]:[Визиты]],2,FALSE),0)</f>
        <v>4</v>
      </c>
      <c r="C33" s="72">
        <f>IFERROR(VLOOKUP(A33,visits_daily[[Период]:[Визиты]],2,FALSE),0)</f>
        <v>4</v>
      </c>
      <c r="D33" s="72">
        <f>MATCH(MAX(visits_daily[Визиты]),visits_daily[Визиты],0)</f>
        <v>4</v>
      </c>
      <c r="E33" s="7">
        <f>INDEX(visits_daily[Период],MATCH(MAX(visits_daily[Визиты]),visits_daily[Визиты],0))</f>
        <v>46085</v>
      </c>
      <c r="F33" s="66">
        <f>IF(B33=0,0,IFERROR(VLOOKUP(A33,conversions_daily[[Период]:[ЦелевыеВизиты]],2,FALSE),0)/B33)</f>
        <v>0</v>
      </c>
    </row>
    <row r="34" spans="1:6">
      <c r="A34" s="7">
        <v>46114</v>
      </c>
      <c r="B34" s="72">
        <f>IFERROR(VLOOKUP(A34,visits_daily[[Период]:[Визиты]],2,FALSE),0)</f>
        <v>2</v>
      </c>
      <c r="C34" s="72">
        <f>IFERROR(VLOOKUP(A34,visits_daily[[Период]:[Визиты]],2,FALSE),0)</f>
        <v>2</v>
      </c>
      <c r="D34" s="72">
        <f>MATCH(MAX(visits_daily[Визиты]),visits_daily[Визиты],0)</f>
        <v>4</v>
      </c>
      <c r="E34" s="7">
        <f>INDEX(visits_daily[Период],MATCH(MAX(visits_daily[Визиты]),visits_daily[Визиты],0))</f>
        <v>46085</v>
      </c>
      <c r="F34" s="66">
        <f>IF(B34=0,0,IFERROR(VLOOKUP(A34,conversions_daily[[Период]:[ЦелевыеВизиты]],2,FALSE),0)/B34)</f>
        <v>0</v>
      </c>
    </row>
    <row r="35" spans="1:6">
      <c r="A35" s="7">
        <v>46115</v>
      </c>
      <c r="B35" s="72">
        <f>IFERROR(VLOOKUP(A35,visits_daily[[Период]:[Визиты]],2,FALSE),0)</f>
        <v>4</v>
      </c>
      <c r="C35" s="72">
        <f>IFERROR(VLOOKUP(A35,visits_daily[[Период]:[Визиты]],2,FALSE),0)</f>
        <v>4</v>
      </c>
      <c r="D35" s="72">
        <f>MATCH(MAX(visits_daily[Визиты]),visits_daily[Визиты],0)</f>
        <v>4</v>
      </c>
      <c r="E35" s="7">
        <f>INDEX(visits_daily[Период],MATCH(MAX(visits_daily[Визиты]),visits_daily[Визиты],0))</f>
        <v>46085</v>
      </c>
      <c r="F35" s="66">
        <f>IF(B35=0,0,IFERROR(VLOOKUP(A35,conversions_daily[[Период]:[ЦелевыеВизиты]],2,FALSE),0)/B35)</f>
        <v>0</v>
      </c>
    </row>
    <row r="36" spans="1:6">
      <c r="A36" s="7">
        <v>46116</v>
      </c>
      <c r="B36" s="72">
        <f>IFERROR(VLOOKUP(A36,visits_daily[[Период]:[Визиты]],2,FALSE),0)</f>
        <v>0</v>
      </c>
      <c r="C36" s="72">
        <f>IFERROR(VLOOKUP(A36,visits_daily[[Период]:[Визиты]],2,FALSE),0)</f>
        <v>0</v>
      </c>
      <c r="D36" s="72">
        <f>MATCH(MAX(visits_daily[Визиты]),visits_daily[Визиты],0)</f>
        <v>4</v>
      </c>
      <c r="E36" s="7">
        <f>INDEX(visits_daily[Период],MATCH(MAX(visits_daily[Визиты]),visits_daily[Визиты],0))</f>
        <v>46085</v>
      </c>
      <c r="F36" s="66">
        <f>IF(B36=0,0,IFERROR(VLOOKUP(A36,conversions_daily[[Период]:[ЦелевыеВизиты]],2,FALSE),0)/B36)</f>
        <v>0</v>
      </c>
    </row>
    <row r="37" spans="1:6">
      <c r="A37" s="7">
        <v>46117</v>
      </c>
      <c r="B37" s="72">
        <f>IFERROR(VLOOKUP(A37,visits_daily[[Период]:[Визиты]],2,FALSE),0)</f>
        <v>4</v>
      </c>
      <c r="C37" s="72">
        <f>IFERROR(VLOOKUP(A37,visits_daily[[Период]:[Визиты]],2,FALSE),0)</f>
        <v>4</v>
      </c>
      <c r="D37" s="72">
        <f>MATCH(MAX(visits_daily[Визиты]),visits_daily[Визиты],0)</f>
        <v>4</v>
      </c>
      <c r="E37" s="7">
        <f>INDEX(visits_daily[Период],MATCH(MAX(visits_daily[Визиты]),visits_daily[Визиты],0))</f>
        <v>46085</v>
      </c>
      <c r="F37" s="66">
        <f>IF(B37=0,0,IFERROR(VLOOKUP(A37,conversions_daily[[Период]:[ЦелевыеВизиты]],2,FALSE),0)/B37)</f>
        <v>0</v>
      </c>
    </row>
    <row r="38" spans="1:6">
      <c r="A38" s="7">
        <v>46118</v>
      </c>
      <c r="B38" s="72">
        <f>IFERROR(VLOOKUP(A38,visits_daily[[Период]:[Визиты]],2,FALSE),0)</f>
        <v>3</v>
      </c>
      <c r="C38" s="72">
        <f>IFERROR(VLOOKUP(A38,visits_daily[[Период]:[Визиты]],2,FALSE),0)</f>
        <v>3</v>
      </c>
      <c r="D38" s="72">
        <f>MATCH(MAX(visits_daily[Визиты]),visits_daily[Визиты],0)</f>
        <v>4</v>
      </c>
      <c r="E38" s="7">
        <f>INDEX(visits_daily[Период],MATCH(MAX(visits_daily[Визиты]),visits_daily[Визиты],0))</f>
        <v>46085</v>
      </c>
      <c r="F38" s="66">
        <f>IF(B38=0,0,IFERROR(VLOOKUP(A38,conversions_daily[[Период]:[ЦелевыеВизиты]],2,FALSE),0)/B38)</f>
        <v>0</v>
      </c>
    </row>
    <row r="39" spans="1:6">
      <c r="A39" s="7">
        <v>46119</v>
      </c>
      <c r="B39" s="72">
        <f>IFERROR(VLOOKUP(A39,visits_daily[[Период]:[Визиты]],2,FALSE),0)</f>
        <v>0</v>
      </c>
      <c r="C39" s="72">
        <f>IFERROR(VLOOKUP(A39,visits_daily[[Период]:[Визиты]],2,FALSE),0)</f>
        <v>0</v>
      </c>
      <c r="D39" s="72">
        <f>MATCH(MAX(visits_daily[Визиты]),visits_daily[Визиты],0)</f>
        <v>4</v>
      </c>
      <c r="E39" s="7">
        <f>INDEX(visits_daily[Период],MATCH(MAX(visits_daily[Визиты]),visits_daily[Визиты],0))</f>
        <v>46085</v>
      </c>
      <c r="F39" s="66">
        <f>IF(B39=0,0,IFERROR(VLOOKUP(A39,conversions_daily[[Период]:[ЦелевыеВизиты]],2,FALSE),0)/B39)</f>
        <v>0</v>
      </c>
    </row>
    <row r="40" spans="1:6">
      <c r="A40" s="7">
        <v>46120</v>
      </c>
      <c r="B40" s="72">
        <f>IFERROR(VLOOKUP(A40,visits_daily[[Период]:[Визиты]],2,FALSE),0)</f>
        <v>1</v>
      </c>
      <c r="C40" s="72">
        <f>IFERROR(VLOOKUP(A40,visits_daily[[Период]:[Визиты]],2,FALSE),0)</f>
        <v>1</v>
      </c>
      <c r="D40" s="72">
        <f>MATCH(MAX(visits_daily[Визиты]),visits_daily[Визиты],0)</f>
        <v>4</v>
      </c>
      <c r="E40" s="7">
        <f>INDEX(visits_daily[Период],MATCH(MAX(visits_daily[Визиты]),visits_daily[Визиты],0))</f>
        <v>46085</v>
      </c>
      <c r="F40" s="66">
        <f>IF(B40=0,0,IFERROR(VLOOKUP(A40,conversions_daily[[Период]:[ЦелевыеВизиты]],2,FALSE),0)/B40)</f>
        <v>0</v>
      </c>
    </row>
    <row r="41" spans="1:6">
      <c r="A41" s="7">
        <v>46121</v>
      </c>
      <c r="B41" s="72">
        <f>IFERROR(VLOOKUP(A41,visits_daily[[Период]:[Визиты]],2,FALSE),0)</f>
        <v>2</v>
      </c>
      <c r="C41" s="72">
        <f>IFERROR(VLOOKUP(A41,visits_daily[[Период]:[Визиты]],2,FALSE),0)</f>
        <v>2</v>
      </c>
      <c r="D41" s="72">
        <f>MATCH(MAX(visits_daily[Визиты]),visits_daily[Визиты],0)</f>
        <v>4</v>
      </c>
      <c r="E41" s="7">
        <f>INDEX(visits_daily[Период],MATCH(MAX(visits_daily[Визиты]),visits_daily[Визиты],0))</f>
        <v>46085</v>
      </c>
      <c r="F41" s="66">
        <f>IF(B41=0,0,IFERROR(VLOOKUP(A41,conversions_daily[[Период]:[ЦелевыеВизиты]],2,FALSE),0)/B41)</f>
        <v>0</v>
      </c>
    </row>
    <row r="42" spans="1:6">
      <c r="A42" s="7">
        <v>46122</v>
      </c>
      <c r="B42" s="72">
        <f>IFERROR(VLOOKUP(A42,visits_daily[[Период]:[Визиты]],2,FALSE),0)</f>
        <v>2</v>
      </c>
      <c r="C42" s="72">
        <f>IFERROR(VLOOKUP(A42,visits_daily[[Период]:[Визиты]],2,FALSE),0)</f>
        <v>2</v>
      </c>
      <c r="D42" s="72">
        <f>MATCH(MAX(visits_daily[Визиты]),visits_daily[Визиты],0)</f>
        <v>4</v>
      </c>
      <c r="E42" s="7">
        <f>INDEX(visits_daily[Период],MATCH(MAX(visits_daily[Визиты]),visits_daily[Визиты],0))</f>
        <v>46085</v>
      </c>
      <c r="F42" s="66">
        <f>IF(B42=0,0,IFERROR(VLOOKUP(A42,conversions_daily[[Период]:[ЦелевыеВизиты]],2,FALSE),0)/B42)</f>
        <v>0</v>
      </c>
    </row>
    <row r="43" spans="1:6">
      <c r="A43" s="7">
        <v>46123</v>
      </c>
      <c r="B43" s="72">
        <f>IFERROR(VLOOKUP(A43,visits_daily[[Период]:[Визиты]],2,FALSE),0)</f>
        <v>1</v>
      </c>
      <c r="C43" s="72">
        <f>IFERROR(VLOOKUP(A43,visits_daily[[Период]:[Визиты]],2,FALSE),0)</f>
        <v>1</v>
      </c>
      <c r="D43" s="72">
        <f>MATCH(MAX(visits_daily[Визиты]),visits_daily[Визиты],0)</f>
        <v>4</v>
      </c>
      <c r="E43" s="7">
        <f>INDEX(visits_daily[Период],MATCH(MAX(visits_daily[Визиты]),visits_daily[Визиты],0))</f>
        <v>46085</v>
      </c>
      <c r="F43" s="66">
        <f>IF(B43=0,0,IFERROR(VLOOKUP(A43,conversions_daily[[Период]:[ЦелевыеВизиты]],2,FALSE),0)/B43)</f>
        <v>0</v>
      </c>
    </row>
    <row r="44" spans="1:6">
      <c r="A44" s="7">
        <v>46124</v>
      </c>
      <c r="B44" s="72">
        <f>IFERROR(VLOOKUP(A44,visits_daily[[Период]:[Визиты]],2,FALSE),0)</f>
        <v>1</v>
      </c>
      <c r="C44" s="72">
        <f>IFERROR(VLOOKUP(A44,visits_daily[[Период]:[Визиты]],2,FALSE),0)</f>
        <v>1</v>
      </c>
      <c r="D44" s="72">
        <f>MATCH(MAX(visits_daily[Визиты]),visits_daily[Визиты],0)</f>
        <v>4</v>
      </c>
      <c r="E44" s="7">
        <f>INDEX(visits_daily[Период],MATCH(MAX(visits_daily[Визиты]),visits_daily[Визиты],0))</f>
        <v>46085</v>
      </c>
      <c r="F44" s="66">
        <f>IF(B44=0,0,IFERROR(VLOOKUP(A44,conversions_daily[[Период]:[ЦелевыеВизиты]],2,FALSE),0)/B44)</f>
        <v>0</v>
      </c>
    </row>
    <row r="45" spans="1:6">
      <c r="A45" s="7">
        <v>46125</v>
      </c>
      <c r="B45" s="72">
        <f>IFERROR(VLOOKUP(A45,visits_daily[[Период]:[Визиты]],2,FALSE),0)</f>
        <v>3</v>
      </c>
      <c r="C45" s="72">
        <f>IFERROR(VLOOKUP(A45,visits_daily[[Период]:[Визиты]],2,FALSE),0)</f>
        <v>3</v>
      </c>
      <c r="D45" s="72">
        <f>MATCH(MAX(visits_daily[Визиты]),visits_daily[Визиты],0)</f>
        <v>4</v>
      </c>
      <c r="E45" s="7">
        <f>INDEX(visits_daily[Период],MATCH(MAX(visits_daily[Визиты]),visits_daily[Визиты],0))</f>
        <v>46085</v>
      </c>
      <c r="F45" s="66">
        <f>IF(B45=0,0,IFERROR(VLOOKUP(A45,conversions_daily[[Период]:[ЦелевыеВизиты]],2,FALSE),0)/B45)</f>
        <v>0</v>
      </c>
    </row>
    <row r="46" spans="1:6">
      <c r="A46" s="7">
        <v>46126</v>
      </c>
      <c r="B46" s="72">
        <f>IFERROR(VLOOKUP(A46,visits_daily[[Период]:[Визиты]],2,FALSE),0)</f>
        <v>2</v>
      </c>
      <c r="C46" s="72">
        <f>IFERROR(VLOOKUP(A46,visits_daily[[Период]:[Визиты]],2,FALSE),0)</f>
        <v>2</v>
      </c>
      <c r="D46" s="72">
        <f>MATCH(MAX(visits_daily[Визиты]),visits_daily[Визиты],0)</f>
        <v>4</v>
      </c>
      <c r="E46" s="7">
        <f>INDEX(visits_daily[Период],MATCH(MAX(visits_daily[Визиты]),visits_daily[Визиты],0))</f>
        <v>46085</v>
      </c>
      <c r="F46" s="66">
        <f>IF(B46=0,0,IFERROR(VLOOKUP(A46,conversions_daily[[Период]:[ЦелевыеВизиты]],2,FALSE),0)/B46)</f>
        <v>0</v>
      </c>
    </row>
    <row r="47" spans="1:6">
      <c r="A47" s="7">
        <v>46127</v>
      </c>
      <c r="B47" s="72">
        <f>IFERROR(VLOOKUP(A47,visits_daily[[Период]:[Визиты]],2,FALSE),0)</f>
        <v>4</v>
      </c>
      <c r="C47" s="72">
        <f>IFERROR(VLOOKUP(A47,visits_daily[[Период]:[Визиты]],2,FALSE),0)</f>
        <v>4</v>
      </c>
      <c r="D47" s="72">
        <f>MATCH(MAX(visits_daily[Визиты]),visits_daily[Визиты],0)</f>
        <v>4</v>
      </c>
      <c r="E47" s="7">
        <f>INDEX(visits_daily[Период],MATCH(MAX(visits_daily[Визиты]),visits_daily[Визиты],0))</f>
        <v>46085</v>
      </c>
      <c r="F47" s="66">
        <f>IF(B47=0,0,IFERROR(VLOOKUP(A47,conversions_daily[[Период]:[ЦелевыеВизиты]],2,FALSE),0)/B47)</f>
        <v>0</v>
      </c>
    </row>
    <row r="48" spans="1:6">
      <c r="A48" s="7">
        <v>46128</v>
      </c>
      <c r="B48" s="72">
        <f>IFERROR(VLOOKUP(A48,visits_daily[[Период]:[Визиты]],2,FALSE),0)</f>
        <v>8</v>
      </c>
      <c r="C48" s="72">
        <f>IFERROR(VLOOKUP(A48,visits_daily[[Период]:[Визиты]],2,FALSE),0)</f>
        <v>8</v>
      </c>
      <c r="D48" s="72">
        <f>MATCH(MAX(visits_daily[Визиты]),visits_daily[Визиты],0)</f>
        <v>4</v>
      </c>
      <c r="E48" s="7">
        <f>INDEX(visits_daily[Период],MATCH(MAX(visits_daily[Визиты]),visits_daily[Визиты],0))</f>
        <v>46085</v>
      </c>
      <c r="F48" s="66">
        <f>IF(B48=0,0,IFERROR(VLOOKUP(A48,conversions_daily[[Период]:[ЦелевыеВизиты]],2,FALSE),0)/B48)</f>
        <v>0</v>
      </c>
    </row>
    <row r="49" spans="1:6">
      <c r="A49" s="7">
        <v>46129</v>
      </c>
      <c r="B49" s="72">
        <f>IFERROR(VLOOKUP(A49,visits_daily[[Период]:[Визиты]],2,FALSE),0)</f>
        <v>1</v>
      </c>
      <c r="C49" s="72">
        <f>IFERROR(VLOOKUP(A49,visits_daily[[Период]:[Визиты]],2,FALSE),0)</f>
        <v>1</v>
      </c>
      <c r="D49" s="72">
        <f>MATCH(MAX(visits_daily[Визиты]),visits_daily[Визиты],0)</f>
        <v>4</v>
      </c>
      <c r="E49" s="7">
        <f>INDEX(visits_daily[Период],MATCH(MAX(visits_daily[Визиты]),visits_daily[Визиты],0))</f>
        <v>46085</v>
      </c>
      <c r="F49" s="66">
        <f>IF(B49=0,0,IFERROR(VLOOKUP(A49,conversions_daily[[Период]:[ЦелевыеВизиты]],2,FALSE),0)/B49)</f>
        <v>0</v>
      </c>
    </row>
    <row r="50" spans="1:6">
      <c r="A50" s="7">
        <v>46130</v>
      </c>
      <c r="B50" s="72">
        <f>IFERROR(VLOOKUP(A50,visits_daily[[Период]:[Визиты]],2,FALSE),0)</f>
        <v>1</v>
      </c>
      <c r="C50" s="72">
        <f>IFERROR(VLOOKUP(A50,visits_daily[[Период]:[Визиты]],2,FALSE),0)</f>
        <v>1</v>
      </c>
      <c r="D50" s="72">
        <f>MATCH(MAX(visits_daily[Визиты]),visits_daily[Визиты],0)</f>
        <v>4</v>
      </c>
      <c r="E50" s="7">
        <f>INDEX(visits_daily[Период],MATCH(MAX(visits_daily[Визиты]),visits_daily[Визиты],0))</f>
        <v>46085</v>
      </c>
      <c r="F50" s="66">
        <f>IF(B50=0,0,IFERROR(VLOOKUP(A50,conversions_daily[[Период]:[ЦелевыеВизиты]],2,FALSE),0)/B50)</f>
        <v>0</v>
      </c>
    </row>
    <row r="51" spans="1:6">
      <c r="A51" s="7">
        <v>46131</v>
      </c>
      <c r="B51" s="72">
        <f>IFERROR(VLOOKUP(A51,visits_daily[[Период]:[Визиты]],2,FALSE),0)</f>
        <v>1</v>
      </c>
      <c r="C51" s="72">
        <f>IFERROR(VLOOKUP(A51,visits_daily[[Период]:[Визиты]],2,FALSE),0)</f>
        <v>1</v>
      </c>
      <c r="D51" s="72">
        <f>MATCH(MAX(visits_daily[Визиты]),visits_daily[Визиты],0)</f>
        <v>4</v>
      </c>
      <c r="E51" s="7">
        <f>INDEX(visits_daily[Период],MATCH(MAX(visits_daily[Визиты]),visits_daily[Визиты],0))</f>
        <v>46085</v>
      </c>
      <c r="F51" s="66">
        <f>IF(B51=0,0,IFERROR(VLOOKUP(A51,conversions_daily[[Период]:[ЦелевыеВизиты]],2,FALSE),0)/B51)</f>
        <v>0</v>
      </c>
    </row>
    <row r="52" spans="1:6">
      <c r="A52" s="7">
        <v>46132</v>
      </c>
      <c r="B52" s="72">
        <f>IFERROR(VLOOKUP(A52,visits_daily[[Период]:[Визиты]],2,FALSE),0)</f>
        <v>2</v>
      </c>
      <c r="C52" s="72">
        <f>IFERROR(VLOOKUP(A52,visits_daily[[Период]:[Визиты]],2,FALSE),0)</f>
        <v>2</v>
      </c>
      <c r="D52" s="72">
        <f>MATCH(MAX(visits_daily[Визиты]),visits_daily[Визиты],0)</f>
        <v>4</v>
      </c>
      <c r="E52" s="7">
        <f>INDEX(visits_daily[Период],MATCH(MAX(visits_daily[Визиты]),visits_daily[Визиты],0))</f>
        <v>46085</v>
      </c>
      <c r="F52" s="66">
        <f>IF(B52=0,0,IFERROR(VLOOKUP(A52,conversions_daily[[Период]:[ЦелевыеВизиты]],2,FALSE),0)/B52)</f>
        <v>0</v>
      </c>
    </row>
    <row r="53" spans="1:6">
      <c r="A53" s="7">
        <v>46133</v>
      </c>
      <c r="B53" s="72">
        <f>IFERROR(VLOOKUP(A53,visits_daily[[Период]:[Визиты]],2,FALSE),0)</f>
        <v>0</v>
      </c>
      <c r="C53" s="72">
        <f>IFERROR(VLOOKUP(A53,visits_daily[[Период]:[Визиты]],2,FALSE),0)</f>
        <v>0</v>
      </c>
      <c r="D53" s="72">
        <f>MATCH(MAX(visits_daily[Визиты]),visits_daily[Визиты],0)</f>
        <v>4</v>
      </c>
      <c r="E53" s="7">
        <f>INDEX(visits_daily[Период],MATCH(MAX(visits_daily[Визиты]),visits_daily[Визиты],0))</f>
        <v>46085</v>
      </c>
      <c r="F53" s="66">
        <f>IF(B53=0,0,IFERROR(VLOOKUP(A53,conversions_daily[[Период]:[ЦелевыеВизиты]],2,FALSE),0)/B53)</f>
        <v>0</v>
      </c>
    </row>
    <row r="54" spans="1:6">
      <c r="A54" s="7">
        <v>46134</v>
      </c>
      <c r="B54" s="72">
        <f>IFERROR(VLOOKUP(A54,visits_daily[[Период]:[Визиты]],2,FALSE),0)</f>
        <v>0</v>
      </c>
      <c r="C54" s="72">
        <f>IFERROR(VLOOKUP(A54,visits_daily[[Период]:[Визиты]],2,FALSE),0)</f>
        <v>0</v>
      </c>
      <c r="D54" s="72">
        <f>MATCH(MAX(visits_daily[Визиты]),visits_daily[Визиты],0)</f>
        <v>4</v>
      </c>
      <c r="E54" s="7">
        <f>INDEX(visits_daily[Период],MATCH(MAX(visits_daily[Визиты]),visits_daily[Визиты],0))</f>
        <v>46085</v>
      </c>
      <c r="F54" s="66">
        <f>IF(B54=0,0,IFERROR(VLOOKUP(A54,conversions_daily[[Период]:[ЦелевыеВизиты]],2,FALSE),0)/B54)</f>
        <v>0</v>
      </c>
    </row>
    <row r="55" spans="1:6">
      <c r="A55" s="7">
        <v>46135</v>
      </c>
      <c r="B55" s="72">
        <f>IFERROR(VLOOKUP(A55,visits_daily[[Период]:[Визиты]],2,FALSE),0)</f>
        <v>6</v>
      </c>
      <c r="C55" s="72">
        <f>IFERROR(VLOOKUP(A55,visits_daily[[Период]:[Визиты]],2,FALSE),0)</f>
        <v>6</v>
      </c>
      <c r="D55" s="72">
        <f>MATCH(MAX(visits_daily[Визиты]),visits_daily[Визиты],0)</f>
        <v>4</v>
      </c>
      <c r="E55" s="7">
        <f>INDEX(visits_daily[Период],MATCH(MAX(visits_daily[Визиты]),visits_daily[Визиты],0))</f>
        <v>46085</v>
      </c>
      <c r="F55" s="66">
        <f>IF(B55=0,0,IFERROR(VLOOKUP(A55,conversions_daily[[Период]:[ЦелевыеВизиты]],2,FALSE),0)/B55)</f>
        <v>0</v>
      </c>
    </row>
    <row r="56" spans="1:6">
      <c r="A56" s="7">
        <v>46136</v>
      </c>
      <c r="B56" s="72">
        <f>IFERROR(VLOOKUP(A56,visits_daily[[Период]:[Визиты]],2,FALSE),0)</f>
        <v>2</v>
      </c>
      <c r="C56" s="72">
        <f>IFERROR(VLOOKUP(A56,visits_daily[[Период]:[Визиты]],2,FALSE),0)</f>
        <v>2</v>
      </c>
      <c r="D56" s="72">
        <f>MATCH(MAX(visits_daily[Визиты]),visits_daily[Визиты],0)</f>
        <v>4</v>
      </c>
      <c r="E56" s="7">
        <f>INDEX(visits_daily[Период],MATCH(MAX(visits_daily[Визиты]),visits_daily[Визиты],0))</f>
        <v>46085</v>
      </c>
      <c r="F56" s="66">
        <f>IF(B56=0,0,IFERROR(VLOOKUP(A56,conversions_daily[[Период]:[ЦелевыеВизиты]],2,FALSE),0)/B56)</f>
        <v>0</v>
      </c>
    </row>
    <row r="57" spans="1:6">
      <c r="A57" s="7">
        <v>46137</v>
      </c>
      <c r="B57" s="72">
        <f>IFERROR(VLOOKUP(A57,visits_daily[[Период]:[Визиты]],2,FALSE),0)</f>
        <v>3</v>
      </c>
      <c r="C57" s="72">
        <f>IFERROR(VLOOKUP(A57,visits_daily[[Период]:[Визиты]],2,FALSE),0)</f>
        <v>3</v>
      </c>
      <c r="D57" s="72">
        <f>MATCH(MAX(visits_daily[Визиты]),visits_daily[Визиты],0)</f>
        <v>4</v>
      </c>
      <c r="E57" s="7">
        <f>INDEX(visits_daily[Период],MATCH(MAX(visits_daily[Визиты]),visits_daily[Визиты],0))</f>
        <v>46085</v>
      </c>
      <c r="F57" s="66">
        <f>IF(B57=0,0,IFERROR(VLOOKUP(A57,conversions_daily[[Период]:[ЦелевыеВизиты]],2,FALSE),0)/B57)</f>
        <v>0</v>
      </c>
    </row>
    <row r="58" spans="1:6">
      <c r="A58" s="7">
        <v>46138</v>
      </c>
      <c r="B58" s="72">
        <f>IFERROR(VLOOKUP(A58,visits_daily[[Период]:[Визиты]],2,FALSE),0)</f>
        <v>0</v>
      </c>
      <c r="C58" s="72">
        <f>IFERROR(VLOOKUP(A58,visits_daily[[Период]:[Визиты]],2,FALSE),0)</f>
        <v>0</v>
      </c>
      <c r="D58" s="72">
        <f>MATCH(MAX(visits_daily[Визиты]),visits_daily[Визиты],0)</f>
        <v>4</v>
      </c>
      <c r="E58" s="7">
        <f>INDEX(visits_daily[Период],MATCH(MAX(visits_daily[Визиты]),visits_daily[Визиты],0))</f>
        <v>46085</v>
      </c>
      <c r="F58" s="66">
        <f>IF(B58=0,0,IFERROR(VLOOKUP(A58,conversions_daily[[Период]:[ЦелевыеВизиты]],2,FALSE),0)/B58)</f>
        <v>0</v>
      </c>
    </row>
    <row r="59" spans="1:6">
      <c r="A59" s="7">
        <v>46139</v>
      </c>
      <c r="B59" s="72">
        <f>IFERROR(VLOOKUP(A59,visits_daily[[Период]:[Визиты]],2,FALSE),0)</f>
        <v>1</v>
      </c>
      <c r="C59" s="72">
        <f>IFERROR(VLOOKUP(A59,visits_daily[[Период]:[Визиты]],2,FALSE),0)</f>
        <v>1</v>
      </c>
      <c r="D59" s="72">
        <f>MATCH(MAX(visits_daily[Визиты]),visits_daily[Визиты],0)</f>
        <v>4</v>
      </c>
      <c r="E59" s="7">
        <f>INDEX(visits_daily[Период],MATCH(MAX(visits_daily[Визиты]),visits_daily[Визиты],0))</f>
        <v>46085</v>
      </c>
      <c r="F59" s="66">
        <f>IF(B59=0,0,IFERROR(VLOOKUP(A59,conversions_daily[[Период]:[ЦелевыеВизиты]],2,FALSE),0)/B59)</f>
        <v>0</v>
      </c>
    </row>
    <row r="60" spans="1:6">
      <c r="A60" s="7">
        <v>46140</v>
      </c>
      <c r="B60" s="72">
        <f>IFERROR(VLOOKUP(A60,visits_daily[[Период]:[Визиты]],2,FALSE),0)</f>
        <v>5</v>
      </c>
      <c r="C60" s="72">
        <f>IFERROR(VLOOKUP(A60,visits_daily[[Период]:[Визиты]],2,FALSE),0)</f>
        <v>5</v>
      </c>
      <c r="D60" s="72">
        <f>MATCH(MAX(visits_daily[Визиты]),visits_daily[Визиты],0)</f>
        <v>4</v>
      </c>
      <c r="E60" s="7">
        <f>INDEX(visits_daily[Период],MATCH(MAX(visits_daily[Визиты]),visits_daily[Визиты],0))</f>
        <v>46085</v>
      </c>
      <c r="F60" s="66">
        <f>IF(B60=0,0,IFERROR(VLOOKUP(A60,conversions_daily[[Период]:[ЦелевыеВизиты]],2,FALSE),0)/B60)</f>
        <v>0</v>
      </c>
    </row>
    <row r="61" spans="1:6">
      <c r="A61" s="7">
        <v>46141</v>
      </c>
      <c r="B61" s="72">
        <f>IFERROR(VLOOKUP(A61,visits_daily[[Период]:[Визиты]],2,FALSE),0)</f>
        <v>1</v>
      </c>
      <c r="C61" s="72">
        <f>IFERROR(VLOOKUP(A61,visits_daily[[Период]:[Визиты]],2,FALSE),0)</f>
        <v>1</v>
      </c>
      <c r="D61" s="72">
        <f>MATCH(MAX(visits_daily[Визиты]),visits_daily[Визиты],0)</f>
        <v>4</v>
      </c>
      <c r="E61" s="7">
        <f>INDEX(visits_daily[Период],MATCH(MAX(visits_daily[Визиты]),visits_daily[Визиты],0))</f>
        <v>46085</v>
      </c>
      <c r="F61" s="66">
        <f>IF(B61=0,0,IFERROR(VLOOKUP(A61,conversions_daily[[Период]:[ЦелевыеВизиты]],2,FALSE),0)/B61)</f>
        <v>0</v>
      </c>
    </row>
    <row r="62" spans="1:6">
      <c r="A62" s="7">
        <v>46142</v>
      </c>
      <c r="B62" s="72">
        <f>IFERROR(VLOOKUP(A62,visits_daily[[Период]:[Визиты]],2,FALSE),0)</f>
        <v>1</v>
      </c>
      <c r="C62" s="72">
        <f>IFERROR(VLOOKUP(A62,visits_daily[[Период]:[Визиты]],2,FALSE),0)</f>
        <v>1</v>
      </c>
      <c r="D62" s="72">
        <f>MATCH(MAX(visits_daily[Визиты]),visits_daily[Визиты],0)</f>
        <v>4</v>
      </c>
      <c r="E62" s="7">
        <f>INDEX(visits_daily[Период],MATCH(MAX(visits_daily[Визиты]),visits_daily[Визиты],0))</f>
        <v>46085</v>
      </c>
      <c r="F62" s="66">
        <f>IF(B62=0,0,IFERROR(VLOOKUP(A62,conversions_daily[[Период]:[ЦелевыеВизиты]],2,FALSE),0)/B62)</f>
        <v>0</v>
      </c>
    </row>
    <row r="63" spans="1:6">
      <c r="A63" s="7">
        <v>46143</v>
      </c>
      <c r="B63" s="72">
        <f>IFERROR(VLOOKUP(A63,visits_daily[[Период]:[Визиты]],2,FALSE),0)</f>
        <v>0</v>
      </c>
      <c r="C63" s="72">
        <f>IFERROR(VLOOKUP(A63,visits_daily[[Период]:[Визиты]],2,FALSE),0)</f>
        <v>0</v>
      </c>
      <c r="D63" s="72">
        <f>MATCH(MAX(visits_daily[Визиты]),visits_daily[Визиты],0)</f>
        <v>4</v>
      </c>
      <c r="E63" s="7">
        <f>INDEX(visits_daily[Период],MATCH(MAX(visits_daily[Визиты]),visits_daily[Визиты],0))</f>
        <v>46085</v>
      </c>
      <c r="F63" s="66">
        <f>IF(B63=0,0,IFERROR(VLOOKUP(A63,conversions_daily[[Период]:[ЦелевыеВизиты]],2,FALSE),0)/B63)</f>
        <v>0</v>
      </c>
    </row>
    <row r="64" spans="1:6">
      <c r="A64" s="7">
        <v>46144</v>
      </c>
      <c r="B64" s="72">
        <f>IFERROR(VLOOKUP(A64,visits_daily[[Период]:[Визиты]],2,FALSE),0)</f>
        <v>1</v>
      </c>
      <c r="C64" s="72">
        <f>IFERROR(VLOOKUP(A64,visits_daily[[Период]:[Визиты]],2,FALSE),0)</f>
        <v>1</v>
      </c>
      <c r="D64" s="72">
        <f>MATCH(MAX(visits_daily[Визиты]),visits_daily[Визиты],0)</f>
        <v>4</v>
      </c>
      <c r="E64" s="7">
        <f>INDEX(visits_daily[Период],MATCH(MAX(visits_daily[Визиты]),visits_daily[Визиты],0))</f>
        <v>46085</v>
      </c>
      <c r="F64" s="66">
        <f>IF(B64=0,0,IFERROR(VLOOKUP(A64,conversions_daily[[Период]:[ЦелевыеВизиты]],2,FALSE),0)/B64)</f>
        <v>0</v>
      </c>
    </row>
    <row r="65" spans="1:6">
      <c r="A65" s="7">
        <v>46145</v>
      </c>
      <c r="B65" s="72">
        <f>IFERROR(VLOOKUP(A65,visits_daily[[Период]:[Визиты]],2,FALSE),0)</f>
        <v>3</v>
      </c>
      <c r="C65" s="72">
        <f>IFERROR(VLOOKUP(A65,visits_daily[[Период]:[Визиты]],2,FALSE),0)</f>
        <v>3</v>
      </c>
      <c r="D65" s="72">
        <f>MATCH(MAX(visits_daily[Визиты]),visits_daily[Визиты],0)</f>
        <v>4</v>
      </c>
      <c r="E65" s="7">
        <f>INDEX(visits_daily[Период],MATCH(MAX(visits_daily[Визиты]),visits_daily[Визиты],0))</f>
        <v>46085</v>
      </c>
      <c r="F65" s="66">
        <f>IF(B65=0,0,IFERROR(VLOOKUP(A65,conversions_daily[[Период]:[ЦелевыеВизиты]],2,FALSE),0)/B65)</f>
        <v>0</v>
      </c>
    </row>
    <row r="66" spans="1:6">
      <c r="A66" s="7">
        <v>46146</v>
      </c>
      <c r="B66" s="72">
        <f>IFERROR(VLOOKUP(A66,visits_daily[[Период]:[Визиты]],2,FALSE),0)</f>
        <v>2</v>
      </c>
      <c r="C66" s="72">
        <f>IFERROR(VLOOKUP(A66,visits_daily[[Период]:[Визиты]],2,FALSE),0)</f>
        <v>2</v>
      </c>
      <c r="D66" s="72">
        <f>MATCH(MAX(visits_daily[Визиты]),visits_daily[Визиты],0)</f>
        <v>4</v>
      </c>
      <c r="E66" s="7">
        <f>INDEX(visits_daily[Период],MATCH(MAX(visits_daily[Визиты]),visits_daily[Визиты],0))</f>
        <v>46085</v>
      </c>
      <c r="F66" s="66">
        <f>IF(B66=0,0,IFERROR(VLOOKUP(A66,conversions_daily[[Период]:[ЦелевыеВизиты]],2,FALSE),0)/B66)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selection sqref="A1:D66"/>
    </sheetView>
  </sheetViews>
  <sheetFormatPr defaultRowHeight="15"/>
  <cols>
    <col min="1" max="1" width="10.28515625" style="7" customWidth="1"/>
    <col min="2" max="2" width="35.7109375" customWidth="1"/>
    <col min="3" max="3" width="19.28515625" bestFit="1" customWidth="1"/>
    <col min="4" max="4" width="21.140625" bestFit="1" customWidth="1"/>
  </cols>
  <sheetData>
    <row r="1" spans="1:4">
      <c r="A1" s="7" t="s">
        <v>0</v>
      </c>
      <c r="B1" t="s">
        <v>447</v>
      </c>
      <c r="C1" t="s">
        <v>409</v>
      </c>
      <c r="D1" t="s">
        <v>419</v>
      </c>
    </row>
    <row r="2" spans="1:4">
      <c r="A2" s="7">
        <v>46082</v>
      </c>
      <c r="B2">
        <v>0</v>
      </c>
      <c r="C2" t="str">
        <f>IF(conversions_daily[[#This Row],[ЦелевыеВизиты]]&gt;0,"Есть","Нет")</f>
        <v>Нет</v>
      </c>
      <c r="D2" t="str">
        <f>IF(conversions_daily[[#This Row],[Период]]&gt;DATE(2026,3,21),"После обрыва","До обрыва")</f>
        <v>До обрыва</v>
      </c>
    </row>
    <row r="3" spans="1:4">
      <c r="A3" s="7">
        <v>46083</v>
      </c>
      <c r="B3">
        <v>0</v>
      </c>
      <c r="C3" t="str">
        <f>IF(conversions_daily[[#This Row],[ЦелевыеВизиты]]&gt;0,"Есть","Нет")</f>
        <v>Нет</v>
      </c>
      <c r="D3" t="str">
        <f>IF(conversions_daily[[#This Row],[Период]]&gt;DATE(2026,3,21),"После обрыва","До обрыва")</f>
        <v>До обрыва</v>
      </c>
    </row>
    <row r="4" spans="1:4">
      <c r="A4" s="7">
        <v>46084</v>
      </c>
      <c r="B4">
        <v>0</v>
      </c>
      <c r="C4" t="str">
        <f>IF(conversions_daily[[#This Row],[ЦелевыеВизиты]]&gt;0,"Есть","Нет")</f>
        <v>Нет</v>
      </c>
      <c r="D4" t="str">
        <f>IF(conversions_daily[[#This Row],[Период]]&gt;DATE(2026,3,21),"После обрыва","До обрыва")</f>
        <v>До обрыва</v>
      </c>
    </row>
    <row r="5" spans="1:4">
      <c r="A5" s="7">
        <v>46085</v>
      </c>
      <c r="B5">
        <v>2</v>
      </c>
      <c r="C5" t="str">
        <f>IF(conversions_daily[[#This Row],[ЦелевыеВизиты]]&gt;0,"Есть","Нет")</f>
        <v>Есть</v>
      </c>
      <c r="D5" t="str">
        <f>IF(conversions_daily[[#This Row],[Период]]&gt;DATE(2026,3,21),"После обрыва","До обрыва")</f>
        <v>До обрыва</v>
      </c>
    </row>
    <row r="6" spans="1:4">
      <c r="A6" s="7">
        <v>46086</v>
      </c>
      <c r="B6">
        <v>1</v>
      </c>
      <c r="C6" t="str">
        <f>IF(conversions_daily[[#This Row],[ЦелевыеВизиты]]&gt;0,"Есть","Нет")</f>
        <v>Есть</v>
      </c>
      <c r="D6" t="str">
        <f>IF(conversions_daily[[#This Row],[Период]]&gt;DATE(2026,3,21),"После обрыва","До обрыва")</f>
        <v>До обрыва</v>
      </c>
    </row>
    <row r="7" spans="1:4">
      <c r="A7" s="7">
        <v>46087</v>
      </c>
      <c r="B7">
        <v>0</v>
      </c>
      <c r="C7" t="str">
        <f>IF(conversions_daily[[#This Row],[ЦелевыеВизиты]]&gt;0,"Есть","Нет")</f>
        <v>Нет</v>
      </c>
      <c r="D7" t="str">
        <f>IF(conversions_daily[[#This Row],[Период]]&gt;DATE(2026,3,21),"После обрыва","До обрыва")</f>
        <v>До обрыва</v>
      </c>
    </row>
    <row r="8" spans="1:4">
      <c r="A8" s="7">
        <v>46088</v>
      </c>
      <c r="B8">
        <v>0</v>
      </c>
      <c r="C8" t="str">
        <f>IF(conversions_daily[[#This Row],[ЦелевыеВизиты]]&gt;0,"Есть","Нет")</f>
        <v>Нет</v>
      </c>
      <c r="D8" t="str">
        <f>IF(conversions_daily[[#This Row],[Период]]&gt;DATE(2026,3,21),"После обрыва","До обрыва")</f>
        <v>До обрыва</v>
      </c>
    </row>
    <row r="9" spans="1:4">
      <c r="A9" s="7">
        <v>46089</v>
      </c>
      <c r="B9">
        <v>0</v>
      </c>
      <c r="C9" t="str">
        <f>IF(conversions_daily[[#This Row],[ЦелевыеВизиты]]&gt;0,"Есть","Нет")</f>
        <v>Нет</v>
      </c>
      <c r="D9" t="str">
        <f>IF(conversions_daily[[#This Row],[Период]]&gt;DATE(2026,3,21),"После обрыва","До обрыва")</f>
        <v>До обрыва</v>
      </c>
    </row>
    <row r="10" spans="1:4">
      <c r="A10" s="7">
        <v>46090</v>
      </c>
      <c r="B10">
        <v>0</v>
      </c>
      <c r="C10" t="str">
        <f>IF(conversions_daily[[#This Row],[ЦелевыеВизиты]]&gt;0,"Есть","Нет")</f>
        <v>Нет</v>
      </c>
      <c r="D10" t="str">
        <f>IF(conversions_daily[[#This Row],[Период]]&gt;DATE(2026,3,21),"После обрыва","До обрыва")</f>
        <v>До обрыва</v>
      </c>
    </row>
    <row r="11" spans="1:4">
      <c r="A11" s="7">
        <v>46091</v>
      </c>
      <c r="B11">
        <v>5</v>
      </c>
      <c r="C11" t="str">
        <f>IF(conversions_daily[[#This Row],[ЦелевыеВизиты]]&gt;0,"Есть","Нет")</f>
        <v>Есть</v>
      </c>
      <c r="D11" t="str">
        <f>IF(conversions_daily[[#This Row],[Период]]&gt;DATE(2026,3,21),"После обрыва","До обрыва")</f>
        <v>До обрыва</v>
      </c>
    </row>
    <row r="12" spans="1:4">
      <c r="A12" s="7">
        <v>46092</v>
      </c>
      <c r="B12">
        <v>0</v>
      </c>
      <c r="C12" t="str">
        <f>IF(conversions_daily[[#This Row],[ЦелевыеВизиты]]&gt;0,"Есть","Нет")</f>
        <v>Нет</v>
      </c>
      <c r="D12" t="str">
        <f>IF(conversions_daily[[#This Row],[Период]]&gt;DATE(2026,3,21),"После обрыва","До обрыва")</f>
        <v>До обрыва</v>
      </c>
    </row>
    <row r="13" spans="1:4">
      <c r="A13" s="7">
        <v>46093</v>
      </c>
      <c r="B13">
        <v>0</v>
      </c>
      <c r="C13" t="str">
        <f>IF(conversions_daily[[#This Row],[ЦелевыеВизиты]]&gt;0,"Есть","Нет")</f>
        <v>Нет</v>
      </c>
      <c r="D13" t="str">
        <f>IF(conversions_daily[[#This Row],[Период]]&gt;DATE(2026,3,21),"После обрыва","До обрыва")</f>
        <v>До обрыва</v>
      </c>
    </row>
    <row r="14" spans="1:4">
      <c r="A14" s="7">
        <v>46094</v>
      </c>
      <c r="B14">
        <v>0</v>
      </c>
      <c r="C14" t="str">
        <f>IF(conversions_daily[[#This Row],[ЦелевыеВизиты]]&gt;0,"Есть","Нет")</f>
        <v>Нет</v>
      </c>
      <c r="D14" t="str">
        <f>IF(conversions_daily[[#This Row],[Период]]&gt;DATE(2026,3,21),"После обрыва","До обрыва")</f>
        <v>До обрыва</v>
      </c>
    </row>
    <row r="15" spans="1:4">
      <c r="A15" s="7">
        <v>46095</v>
      </c>
      <c r="B15">
        <v>0</v>
      </c>
      <c r="C15" t="str">
        <f>IF(conversions_daily[[#This Row],[ЦелевыеВизиты]]&gt;0,"Есть","Нет")</f>
        <v>Нет</v>
      </c>
      <c r="D15" t="str">
        <f>IF(conversions_daily[[#This Row],[Период]]&gt;DATE(2026,3,21),"После обрыва","До обрыва")</f>
        <v>До обрыва</v>
      </c>
    </row>
    <row r="16" spans="1:4">
      <c r="A16" s="7">
        <v>46096</v>
      </c>
      <c r="B16">
        <v>0</v>
      </c>
      <c r="C16" t="str">
        <f>IF(conversions_daily[[#This Row],[ЦелевыеВизиты]]&gt;0,"Есть","Нет")</f>
        <v>Нет</v>
      </c>
      <c r="D16" t="str">
        <f>IF(conversions_daily[[#This Row],[Период]]&gt;DATE(2026,3,21),"После обрыва","До обрыва")</f>
        <v>До обрыва</v>
      </c>
    </row>
    <row r="17" spans="1:4">
      <c r="A17" s="7">
        <v>46097</v>
      </c>
      <c r="B17">
        <v>1</v>
      </c>
      <c r="C17" t="str">
        <f>IF(conversions_daily[[#This Row],[ЦелевыеВизиты]]&gt;0,"Есть","Нет")</f>
        <v>Есть</v>
      </c>
      <c r="D17" t="str">
        <f>IF(conversions_daily[[#This Row],[Период]]&gt;DATE(2026,3,21),"После обрыва","До обрыва")</f>
        <v>До обрыва</v>
      </c>
    </row>
    <row r="18" spans="1:4">
      <c r="A18" s="7">
        <v>46098</v>
      </c>
      <c r="B18">
        <v>0</v>
      </c>
      <c r="C18" t="str">
        <f>IF(conversions_daily[[#This Row],[ЦелевыеВизиты]]&gt;0,"Есть","Нет")</f>
        <v>Нет</v>
      </c>
      <c r="D18" t="str">
        <f>IF(conversions_daily[[#This Row],[Период]]&gt;DATE(2026,3,21),"После обрыва","До обрыва")</f>
        <v>До обрыва</v>
      </c>
    </row>
    <row r="19" spans="1:4">
      <c r="A19" s="7">
        <v>46099</v>
      </c>
      <c r="B19">
        <v>5</v>
      </c>
      <c r="C19" t="str">
        <f>IF(conversions_daily[[#This Row],[ЦелевыеВизиты]]&gt;0,"Есть","Нет")</f>
        <v>Есть</v>
      </c>
      <c r="D19" t="str">
        <f>IF(conversions_daily[[#This Row],[Период]]&gt;DATE(2026,3,21),"После обрыва","До обрыва")</f>
        <v>До обрыва</v>
      </c>
    </row>
    <row r="20" spans="1:4">
      <c r="A20" s="7">
        <v>46100</v>
      </c>
      <c r="B20">
        <v>4</v>
      </c>
      <c r="C20" t="str">
        <f>IF(conversions_daily[[#This Row],[ЦелевыеВизиты]]&gt;0,"Есть","Нет")</f>
        <v>Есть</v>
      </c>
      <c r="D20" t="str">
        <f>IF(conversions_daily[[#This Row],[Период]]&gt;DATE(2026,3,21),"После обрыва","До обрыва")</f>
        <v>До обрыва</v>
      </c>
    </row>
    <row r="21" spans="1:4">
      <c r="A21" s="7">
        <v>46101</v>
      </c>
      <c r="B21">
        <v>5</v>
      </c>
      <c r="C21" t="str">
        <f>IF(conversions_daily[[#This Row],[ЦелевыеВизиты]]&gt;0,"Есть","Нет")</f>
        <v>Есть</v>
      </c>
      <c r="D21" t="str">
        <f>IF(conversions_daily[[#This Row],[Период]]&gt;DATE(2026,3,21),"После обрыва","До обрыва")</f>
        <v>До обрыва</v>
      </c>
    </row>
    <row r="22" spans="1:4">
      <c r="A22" s="7">
        <v>46102</v>
      </c>
      <c r="B22">
        <v>2</v>
      </c>
      <c r="C22" t="str">
        <f>IF(conversions_daily[[#This Row],[ЦелевыеВизиты]]&gt;0,"Есть","Нет")</f>
        <v>Есть</v>
      </c>
      <c r="D22" t="str">
        <f>IF(conversions_daily[[#This Row],[Период]]&gt;DATE(2026,3,21),"После обрыва","До обрыва")</f>
        <v>До обрыва</v>
      </c>
    </row>
    <row r="23" spans="1:4">
      <c r="A23" s="7">
        <v>46103</v>
      </c>
      <c r="B23">
        <v>0</v>
      </c>
      <c r="C23" t="str">
        <f>IF(conversions_daily[[#This Row],[ЦелевыеВизиты]]&gt;0,"Есть","Нет")</f>
        <v>Нет</v>
      </c>
      <c r="D23" t="str">
        <f>IF(conversions_daily[[#This Row],[Период]]&gt;DATE(2026,3,21),"После обрыва","До обрыва")</f>
        <v>После обрыва</v>
      </c>
    </row>
    <row r="24" spans="1:4">
      <c r="A24" s="7">
        <v>46104</v>
      </c>
      <c r="B24">
        <v>0</v>
      </c>
      <c r="C24" t="str">
        <f>IF(conversions_daily[[#This Row],[ЦелевыеВизиты]]&gt;0,"Есть","Нет")</f>
        <v>Нет</v>
      </c>
      <c r="D24" t="str">
        <f>IF(conversions_daily[[#This Row],[Период]]&gt;DATE(2026,3,21),"После обрыва","До обрыва")</f>
        <v>После обрыва</v>
      </c>
    </row>
    <row r="25" spans="1:4">
      <c r="A25" s="7">
        <v>46105</v>
      </c>
      <c r="B25">
        <v>0</v>
      </c>
      <c r="C25" t="str">
        <f>IF(conversions_daily[[#This Row],[ЦелевыеВизиты]]&gt;0,"Есть","Нет")</f>
        <v>Нет</v>
      </c>
      <c r="D25" t="str">
        <f>IF(conversions_daily[[#This Row],[Период]]&gt;DATE(2026,3,21),"После обрыва","До обрыва")</f>
        <v>После обрыва</v>
      </c>
    </row>
    <row r="26" spans="1:4">
      <c r="A26" s="7">
        <v>46106</v>
      </c>
      <c r="B26">
        <v>0</v>
      </c>
      <c r="C26" t="str">
        <f>IF(conversions_daily[[#This Row],[ЦелевыеВизиты]]&gt;0,"Есть","Нет")</f>
        <v>Нет</v>
      </c>
      <c r="D26" t="str">
        <f>IF(conversions_daily[[#This Row],[Период]]&gt;DATE(2026,3,21),"После обрыва","До обрыва")</f>
        <v>После обрыва</v>
      </c>
    </row>
    <row r="27" spans="1:4">
      <c r="A27" s="7">
        <v>46107</v>
      </c>
      <c r="B27">
        <v>0</v>
      </c>
      <c r="C27" t="str">
        <f>IF(conversions_daily[[#This Row],[ЦелевыеВизиты]]&gt;0,"Есть","Нет")</f>
        <v>Нет</v>
      </c>
      <c r="D27" t="str">
        <f>IF(conversions_daily[[#This Row],[Период]]&gt;DATE(2026,3,21),"После обрыва","До обрыва")</f>
        <v>После обрыва</v>
      </c>
    </row>
    <row r="28" spans="1:4">
      <c r="A28" s="7">
        <v>46108</v>
      </c>
      <c r="B28">
        <v>0</v>
      </c>
      <c r="C28" t="str">
        <f>IF(conversions_daily[[#This Row],[ЦелевыеВизиты]]&gt;0,"Есть","Нет")</f>
        <v>Нет</v>
      </c>
      <c r="D28" t="str">
        <f>IF(conversions_daily[[#This Row],[Период]]&gt;DATE(2026,3,21),"После обрыва","До обрыва")</f>
        <v>После обрыва</v>
      </c>
    </row>
    <row r="29" spans="1:4">
      <c r="A29" s="7">
        <v>46109</v>
      </c>
      <c r="B29">
        <v>0</v>
      </c>
      <c r="C29" t="str">
        <f>IF(conversions_daily[[#This Row],[ЦелевыеВизиты]]&gt;0,"Есть","Нет")</f>
        <v>Нет</v>
      </c>
      <c r="D29" t="str">
        <f>IF(conversions_daily[[#This Row],[Период]]&gt;DATE(2026,3,21),"После обрыва","До обрыва")</f>
        <v>После обрыва</v>
      </c>
    </row>
    <row r="30" spans="1:4">
      <c r="A30" s="7">
        <v>46110</v>
      </c>
      <c r="B30">
        <v>0</v>
      </c>
      <c r="C30" t="str">
        <f>IF(conversions_daily[[#This Row],[ЦелевыеВизиты]]&gt;0,"Есть","Нет")</f>
        <v>Нет</v>
      </c>
      <c r="D30" t="str">
        <f>IF(conversions_daily[[#This Row],[Период]]&gt;DATE(2026,3,21),"После обрыва","До обрыва")</f>
        <v>После обрыва</v>
      </c>
    </row>
    <row r="31" spans="1:4">
      <c r="A31" s="7">
        <v>46111</v>
      </c>
      <c r="B31">
        <v>0</v>
      </c>
      <c r="C31" t="str">
        <f>IF(conversions_daily[[#This Row],[ЦелевыеВизиты]]&gt;0,"Есть","Нет")</f>
        <v>Нет</v>
      </c>
      <c r="D31" t="str">
        <f>IF(conversions_daily[[#This Row],[Период]]&gt;DATE(2026,3,21),"После обрыва","До обрыва")</f>
        <v>После обрыва</v>
      </c>
    </row>
    <row r="32" spans="1:4">
      <c r="A32" s="7">
        <v>46112</v>
      </c>
      <c r="B32">
        <v>0</v>
      </c>
      <c r="C32" t="str">
        <f>IF(conversions_daily[[#This Row],[ЦелевыеВизиты]]&gt;0,"Есть","Нет")</f>
        <v>Нет</v>
      </c>
      <c r="D32" t="str">
        <f>IF(conversions_daily[[#This Row],[Период]]&gt;DATE(2026,3,21),"После обрыва","До обрыва")</f>
        <v>После обрыва</v>
      </c>
    </row>
    <row r="33" spans="1:4">
      <c r="A33" s="7">
        <v>46113</v>
      </c>
      <c r="B33">
        <v>0</v>
      </c>
      <c r="C33" t="str">
        <f>IF(conversions_daily[[#This Row],[ЦелевыеВизиты]]&gt;0,"Есть","Нет")</f>
        <v>Нет</v>
      </c>
      <c r="D33" t="str">
        <f>IF(conversions_daily[[#This Row],[Период]]&gt;DATE(2026,3,21),"После обрыва","До обрыва")</f>
        <v>После обрыва</v>
      </c>
    </row>
    <row r="34" spans="1:4">
      <c r="A34" s="7">
        <v>46114</v>
      </c>
      <c r="B34">
        <v>0</v>
      </c>
      <c r="C34" t="str">
        <f>IF(conversions_daily[[#This Row],[ЦелевыеВизиты]]&gt;0,"Есть","Нет")</f>
        <v>Нет</v>
      </c>
      <c r="D34" t="str">
        <f>IF(conversions_daily[[#This Row],[Период]]&gt;DATE(2026,3,21),"После обрыва","До обрыва")</f>
        <v>После обрыва</v>
      </c>
    </row>
    <row r="35" spans="1:4">
      <c r="A35" s="7">
        <v>46115</v>
      </c>
      <c r="B35">
        <v>0</v>
      </c>
      <c r="C35" t="str">
        <f>IF(conversions_daily[[#This Row],[ЦелевыеВизиты]]&gt;0,"Есть","Нет")</f>
        <v>Нет</v>
      </c>
      <c r="D35" t="str">
        <f>IF(conversions_daily[[#This Row],[Период]]&gt;DATE(2026,3,21),"После обрыва","До обрыва")</f>
        <v>После обрыва</v>
      </c>
    </row>
    <row r="36" spans="1:4">
      <c r="A36" s="7">
        <v>46116</v>
      </c>
      <c r="B36">
        <v>0</v>
      </c>
      <c r="C36" t="str">
        <f>IF(conversions_daily[[#This Row],[ЦелевыеВизиты]]&gt;0,"Есть","Нет")</f>
        <v>Нет</v>
      </c>
      <c r="D36" t="str">
        <f>IF(conversions_daily[[#This Row],[Период]]&gt;DATE(2026,3,21),"После обрыва","До обрыва")</f>
        <v>После обрыва</v>
      </c>
    </row>
    <row r="37" spans="1:4">
      <c r="A37" s="7">
        <v>46117</v>
      </c>
      <c r="B37">
        <v>0</v>
      </c>
      <c r="C37" t="str">
        <f>IF(conversions_daily[[#This Row],[ЦелевыеВизиты]]&gt;0,"Есть","Нет")</f>
        <v>Нет</v>
      </c>
      <c r="D37" t="str">
        <f>IF(conversions_daily[[#This Row],[Период]]&gt;DATE(2026,3,21),"После обрыва","До обрыва")</f>
        <v>После обрыва</v>
      </c>
    </row>
    <row r="38" spans="1:4">
      <c r="A38" s="7">
        <v>46118</v>
      </c>
      <c r="B38">
        <v>0</v>
      </c>
      <c r="C38" t="str">
        <f>IF(conversions_daily[[#This Row],[ЦелевыеВизиты]]&gt;0,"Есть","Нет")</f>
        <v>Нет</v>
      </c>
      <c r="D38" t="str">
        <f>IF(conversions_daily[[#This Row],[Период]]&gt;DATE(2026,3,21),"После обрыва","До обрыва")</f>
        <v>После обрыва</v>
      </c>
    </row>
    <row r="39" spans="1:4">
      <c r="A39" s="7">
        <v>46119</v>
      </c>
      <c r="B39">
        <v>0</v>
      </c>
      <c r="C39" t="str">
        <f>IF(conversions_daily[[#This Row],[ЦелевыеВизиты]]&gt;0,"Есть","Нет")</f>
        <v>Нет</v>
      </c>
      <c r="D39" t="str">
        <f>IF(conversions_daily[[#This Row],[Период]]&gt;DATE(2026,3,21),"После обрыва","До обрыва")</f>
        <v>После обрыва</v>
      </c>
    </row>
    <row r="40" spans="1:4">
      <c r="A40" s="7">
        <v>46120</v>
      </c>
      <c r="B40">
        <v>0</v>
      </c>
      <c r="C40" t="str">
        <f>IF(conversions_daily[[#This Row],[ЦелевыеВизиты]]&gt;0,"Есть","Нет")</f>
        <v>Нет</v>
      </c>
      <c r="D40" t="str">
        <f>IF(conversions_daily[[#This Row],[Период]]&gt;DATE(2026,3,21),"После обрыва","До обрыва")</f>
        <v>После обрыва</v>
      </c>
    </row>
    <row r="41" spans="1:4">
      <c r="A41" s="7">
        <v>46121</v>
      </c>
      <c r="B41">
        <v>0</v>
      </c>
      <c r="C41" t="str">
        <f>IF(conversions_daily[[#This Row],[ЦелевыеВизиты]]&gt;0,"Есть","Нет")</f>
        <v>Нет</v>
      </c>
      <c r="D41" t="str">
        <f>IF(conversions_daily[[#This Row],[Период]]&gt;DATE(2026,3,21),"После обрыва","До обрыва")</f>
        <v>После обрыва</v>
      </c>
    </row>
    <row r="42" spans="1:4">
      <c r="A42" s="7">
        <v>46122</v>
      </c>
      <c r="B42">
        <v>0</v>
      </c>
      <c r="C42" t="str">
        <f>IF(conversions_daily[[#This Row],[ЦелевыеВизиты]]&gt;0,"Есть","Нет")</f>
        <v>Нет</v>
      </c>
      <c r="D42" t="str">
        <f>IF(conversions_daily[[#This Row],[Период]]&gt;DATE(2026,3,21),"После обрыва","До обрыва")</f>
        <v>После обрыва</v>
      </c>
    </row>
    <row r="43" spans="1:4">
      <c r="A43" s="7">
        <v>46123</v>
      </c>
      <c r="B43">
        <v>0</v>
      </c>
      <c r="C43" t="str">
        <f>IF(conversions_daily[[#This Row],[ЦелевыеВизиты]]&gt;0,"Есть","Нет")</f>
        <v>Нет</v>
      </c>
      <c r="D43" t="str">
        <f>IF(conversions_daily[[#This Row],[Период]]&gt;DATE(2026,3,21),"После обрыва","До обрыва")</f>
        <v>После обрыва</v>
      </c>
    </row>
    <row r="44" spans="1:4">
      <c r="A44" s="7">
        <v>46124</v>
      </c>
      <c r="B44">
        <v>0</v>
      </c>
      <c r="C44" t="str">
        <f>IF(conversions_daily[[#This Row],[ЦелевыеВизиты]]&gt;0,"Есть","Нет")</f>
        <v>Нет</v>
      </c>
      <c r="D44" t="str">
        <f>IF(conversions_daily[[#This Row],[Период]]&gt;DATE(2026,3,21),"После обрыва","До обрыва")</f>
        <v>После обрыва</v>
      </c>
    </row>
    <row r="45" spans="1:4">
      <c r="A45" s="7">
        <v>46125</v>
      </c>
      <c r="B45">
        <v>0</v>
      </c>
      <c r="C45" t="str">
        <f>IF(conversions_daily[[#This Row],[ЦелевыеВизиты]]&gt;0,"Есть","Нет")</f>
        <v>Нет</v>
      </c>
      <c r="D45" t="str">
        <f>IF(conversions_daily[[#This Row],[Период]]&gt;DATE(2026,3,21),"После обрыва","До обрыва")</f>
        <v>После обрыва</v>
      </c>
    </row>
    <row r="46" spans="1:4">
      <c r="A46" s="7">
        <v>46126</v>
      </c>
      <c r="B46">
        <v>0</v>
      </c>
      <c r="C46" t="str">
        <f>IF(conversions_daily[[#This Row],[ЦелевыеВизиты]]&gt;0,"Есть","Нет")</f>
        <v>Нет</v>
      </c>
      <c r="D46" t="str">
        <f>IF(conversions_daily[[#This Row],[Период]]&gt;DATE(2026,3,21),"После обрыва","До обрыва")</f>
        <v>После обрыва</v>
      </c>
    </row>
    <row r="47" spans="1:4">
      <c r="A47" s="7">
        <v>46127</v>
      </c>
      <c r="B47">
        <v>0</v>
      </c>
      <c r="C47" t="str">
        <f>IF(conversions_daily[[#This Row],[ЦелевыеВизиты]]&gt;0,"Есть","Нет")</f>
        <v>Нет</v>
      </c>
      <c r="D47" t="str">
        <f>IF(conversions_daily[[#This Row],[Период]]&gt;DATE(2026,3,21),"После обрыва","До обрыва")</f>
        <v>После обрыва</v>
      </c>
    </row>
    <row r="48" spans="1:4">
      <c r="A48" s="7">
        <v>46128</v>
      </c>
      <c r="B48">
        <v>0</v>
      </c>
      <c r="C48" t="str">
        <f>IF(conversions_daily[[#This Row],[ЦелевыеВизиты]]&gt;0,"Есть","Нет")</f>
        <v>Нет</v>
      </c>
      <c r="D48" t="str">
        <f>IF(conversions_daily[[#This Row],[Период]]&gt;DATE(2026,3,21),"После обрыва","До обрыва")</f>
        <v>После обрыва</v>
      </c>
    </row>
    <row r="49" spans="1:4">
      <c r="A49" s="7">
        <v>46129</v>
      </c>
      <c r="B49">
        <v>0</v>
      </c>
      <c r="C49" t="str">
        <f>IF(conversions_daily[[#This Row],[ЦелевыеВизиты]]&gt;0,"Есть","Нет")</f>
        <v>Нет</v>
      </c>
      <c r="D49" t="str">
        <f>IF(conversions_daily[[#This Row],[Период]]&gt;DATE(2026,3,21),"После обрыва","До обрыва")</f>
        <v>После обрыва</v>
      </c>
    </row>
    <row r="50" spans="1:4">
      <c r="A50" s="7">
        <v>46130</v>
      </c>
      <c r="B50">
        <v>0</v>
      </c>
      <c r="C50" t="str">
        <f>IF(conversions_daily[[#This Row],[ЦелевыеВизиты]]&gt;0,"Есть","Нет")</f>
        <v>Нет</v>
      </c>
      <c r="D50" t="str">
        <f>IF(conversions_daily[[#This Row],[Период]]&gt;DATE(2026,3,21),"После обрыва","До обрыва")</f>
        <v>После обрыва</v>
      </c>
    </row>
    <row r="51" spans="1:4">
      <c r="A51" s="7">
        <v>46131</v>
      </c>
      <c r="B51">
        <v>0</v>
      </c>
      <c r="C51" t="str">
        <f>IF(conversions_daily[[#This Row],[ЦелевыеВизиты]]&gt;0,"Есть","Нет")</f>
        <v>Нет</v>
      </c>
      <c r="D51" t="str">
        <f>IF(conversions_daily[[#This Row],[Период]]&gt;DATE(2026,3,21),"После обрыва","До обрыва")</f>
        <v>После обрыва</v>
      </c>
    </row>
    <row r="52" spans="1:4">
      <c r="A52" s="7">
        <v>46132</v>
      </c>
      <c r="B52">
        <v>0</v>
      </c>
      <c r="C52" t="str">
        <f>IF(conversions_daily[[#This Row],[ЦелевыеВизиты]]&gt;0,"Есть","Нет")</f>
        <v>Нет</v>
      </c>
      <c r="D52" t="str">
        <f>IF(conversions_daily[[#This Row],[Период]]&gt;DATE(2026,3,21),"После обрыва","До обрыва")</f>
        <v>После обрыва</v>
      </c>
    </row>
    <row r="53" spans="1:4">
      <c r="A53" s="7">
        <v>46133</v>
      </c>
      <c r="B53">
        <v>0</v>
      </c>
      <c r="C53" t="str">
        <f>IF(conversions_daily[[#This Row],[ЦелевыеВизиты]]&gt;0,"Есть","Нет")</f>
        <v>Нет</v>
      </c>
      <c r="D53" t="str">
        <f>IF(conversions_daily[[#This Row],[Период]]&gt;DATE(2026,3,21),"После обрыва","До обрыва")</f>
        <v>После обрыва</v>
      </c>
    </row>
    <row r="54" spans="1:4">
      <c r="A54" s="7">
        <v>46134</v>
      </c>
      <c r="B54">
        <v>0</v>
      </c>
      <c r="C54" t="str">
        <f>IF(conversions_daily[[#This Row],[ЦелевыеВизиты]]&gt;0,"Есть","Нет")</f>
        <v>Нет</v>
      </c>
      <c r="D54" t="str">
        <f>IF(conversions_daily[[#This Row],[Период]]&gt;DATE(2026,3,21),"После обрыва","До обрыва")</f>
        <v>После обрыва</v>
      </c>
    </row>
    <row r="55" spans="1:4">
      <c r="A55" s="7">
        <v>46135</v>
      </c>
      <c r="B55">
        <v>0</v>
      </c>
      <c r="C55" t="str">
        <f>IF(conversions_daily[[#This Row],[ЦелевыеВизиты]]&gt;0,"Есть","Нет")</f>
        <v>Нет</v>
      </c>
      <c r="D55" t="str">
        <f>IF(conversions_daily[[#This Row],[Период]]&gt;DATE(2026,3,21),"После обрыва","До обрыва")</f>
        <v>После обрыва</v>
      </c>
    </row>
    <row r="56" spans="1:4">
      <c r="A56" s="7">
        <v>46136</v>
      </c>
      <c r="B56">
        <v>0</v>
      </c>
      <c r="C56" t="str">
        <f>IF(conversions_daily[[#This Row],[ЦелевыеВизиты]]&gt;0,"Есть","Нет")</f>
        <v>Нет</v>
      </c>
      <c r="D56" t="str">
        <f>IF(conversions_daily[[#This Row],[Период]]&gt;DATE(2026,3,21),"После обрыва","До обрыва")</f>
        <v>После обрыва</v>
      </c>
    </row>
    <row r="57" spans="1:4">
      <c r="A57" s="7">
        <v>46137</v>
      </c>
      <c r="B57">
        <v>0</v>
      </c>
      <c r="C57" t="str">
        <f>IF(conversions_daily[[#This Row],[ЦелевыеВизиты]]&gt;0,"Есть","Нет")</f>
        <v>Нет</v>
      </c>
      <c r="D57" t="str">
        <f>IF(conversions_daily[[#This Row],[Период]]&gt;DATE(2026,3,21),"После обрыва","До обрыва")</f>
        <v>После обрыва</v>
      </c>
    </row>
    <row r="58" spans="1:4">
      <c r="A58" s="7">
        <v>46138</v>
      </c>
      <c r="B58">
        <v>0</v>
      </c>
      <c r="C58" t="str">
        <f>IF(conversions_daily[[#This Row],[ЦелевыеВизиты]]&gt;0,"Есть","Нет")</f>
        <v>Нет</v>
      </c>
      <c r="D58" t="str">
        <f>IF(conversions_daily[[#This Row],[Период]]&gt;DATE(2026,3,21),"После обрыва","До обрыва")</f>
        <v>После обрыва</v>
      </c>
    </row>
    <row r="59" spans="1:4">
      <c r="A59" s="7">
        <v>46139</v>
      </c>
      <c r="B59">
        <v>0</v>
      </c>
      <c r="C59" t="str">
        <f>IF(conversions_daily[[#This Row],[ЦелевыеВизиты]]&gt;0,"Есть","Нет")</f>
        <v>Нет</v>
      </c>
      <c r="D59" t="str">
        <f>IF(conversions_daily[[#This Row],[Период]]&gt;DATE(2026,3,21),"После обрыва","До обрыва")</f>
        <v>После обрыва</v>
      </c>
    </row>
    <row r="60" spans="1:4">
      <c r="A60" s="7">
        <v>46140</v>
      </c>
      <c r="B60">
        <v>0</v>
      </c>
      <c r="C60" t="str">
        <f>IF(conversions_daily[[#This Row],[ЦелевыеВизиты]]&gt;0,"Есть","Нет")</f>
        <v>Нет</v>
      </c>
      <c r="D60" t="str">
        <f>IF(conversions_daily[[#This Row],[Период]]&gt;DATE(2026,3,21),"После обрыва","До обрыва")</f>
        <v>После обрыва</v>
      </c>
    </row>
    <row r="61" spans="1:4">
      <c r="A61" s="7">
        <v>46141</v>
      </c>
      <c r="B61">
        <v>0</v>
      </c>
      <c r="C61" t="str">
        <f>IF(conversions_daily[[#This Row],[ЦелевыеВизиты]]&gt;0,"Есть","Нет")</f>
        <v>Нет</v>
      </c>
      <c r="D61" t="str">
        <f>IF(conversions_daily[[#This Row],[Период]]&gt;DATE(2026,3,21),"После обрыва","До обрыва")</f>
        <v>После обрыва</v>
      </c>
    </row>
    <row r="62" spans="1:4">
      <c r="A62" s="7">
        <v>46142</v>
      </c>
      <c r="B62">
        <v>0</v>
      </c>
      <c r="C62" t="str">
        <f>IF(conversions_daily[[#This Row],[ЦелевыеВизиты]]&gt;0,"Есть","Нет")</f>
        <v>Нет</v>
      </c>
      <c r="D62" t="str">
        <f>IF(conversions_daily[[#This Row],[Период]]&gt;DATE(2026,3,21),"После обрыва","До обрыва")</f>
        <v>После обрыва</v>
      </c>
    </row>
    <row r="63" spans="1:4">
      <c r="A63" s="7">
        <v>46143</v>
      </c>
      <c r="B63">
        <v>0</v>
      </c>
      <c r="C63" t="str">
        <f>IF(conversions_daily[[#This Row],[ЦелевыеВизиты]]&gt;0,"Есть","Нет")</f>
        <v>Нет</v>
      </c>
      <c r="D63" t="str">
        <f>IF(conversions_daily[[#This Row],[Период]]&gt;DATE(2026,3,21),"После обрыва","До обрыва")</f>
        <v>После обрыва</v>
      </c>
    </row>
    <row r="64" spans="1:4">
      <c r="A64" s="7">
        <v>46144</v>
      </c>
      <c r="B64">
        <v>0</v>
      </c>
      <c r="C64" t="str">
        <f>IF(conversions_daily[[#This Row],[ЦелевыеВизиты]]&gt;0,"Есть","Нет")</f>
        <v>Нет</v>
      </c>
      <c r="D64" t="str">
        <f>IF(conversions_daily[[#This Row],[Период]]&gt;DATE(2026,3,21),"После обрыва","До обрыва")</f>
        <v>После обрыва</v>
      </c>
    </row>
    <row r="65" spans="1:4">
      <c r="A65" s="7">
        <v>46145</v>
      </c>
      <c r="B65">
        <v>0</v>
      </c>
      <c r="C65" t="str">
        <f>IF(conversions_daily[[#This Row],[ЦелевыеВизиты]]&gt;0,"Есть","Нет")</f>
        <v>Нет</v>
      </c>
      <c r="D65" t="str">
        <f>IF(conversions_daily[[#This Row],[Период]]&gt;DATE(2026,3,21),"После обрыва","До обрыва")</f>
        <v>После обрыва</v>
      </c>
    </row>
    <row r="66" spans="1:4">
      <c r="A66" s="7">
        <v>46146</v>
      </c>
      <c r="B66">
        <v>0</v>
      </c>
      <c r="C66" t="str">
        <f>IF(conversions_daily[[#This Row],[ЦелевыеВизиты]]&gt;0,"Есть","Нет")</f>
        <v>Нет</v>
      </c>
      <c r="D66" t="str">
        <f>IF(conversions_daily[[#This Row],[Период]]&gt;DATE(2026,3,21),"После обрыва","До обрыва")</f>
        <v>После обрыва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topLeftCell="I1" zoomScale="130" zoomScaleNormal="130" workbookViewId="0">
      <selection activeCell="P18" sqref="P18"/>
    </sheetView>
  </sheetViews>
  <sheetFormatPr defaultRowHeight="15"/>
  <cols>
    <col min="1" max="1" width="13.7109375" style="7" bestFit="1" customWidth="1"/>
    <col min="2" max="2" width="13.42578125" style="1" bestFit="1" customWidth="1"/>
    <col min="3" max="3" width="24.28515625" style="56" bestFit="1" customWidth="1"/>
    <col min="4" max="4" width="16.7109375" bestFit="1" customWidth="1"/>
    <col min="5" max="5" width="19" bestFit="1" customWidth="1"/>
    <col min="6" max="6" width="23.42578125" bestFit="1" customWidth="1"/>
    <col min="7" max="7" width="28" bestFit="1" customWidth="1"/>
    <col min="8" max="8" width="23.28515625" bestFit="1" customWidth="1"/>
    <col min="9" max="9" width="21" bestFit="1" customWidth="1"/>
    <col min="10" max="10" width="16.7109375" bestFit="1" customWidth="1"/>
    <col min="11" max="11" width="15.85546875" bestFit="1" customWidth="1"/>
    <col min="12" max="12" width="32.85546875" bestFit="1" customWidth="1"/>
    <col min="13" max="13" width="30.7109375" customWidth="1"/>
    <col min="14" max="14" width="20.5703125" bestFit="1" customWidth="1"/>
    <col min="15" max="15" width="22.140625" bestFit="1" customWidth="1"/>
    <col min="16" max="16" width="22" style="1" bestFit="1" customWidth="1"/>
    <col min="17" max="17" width="26.42578125" bestFit="1" customWidth="1"/>
  </cols>
  <sheetData>
    <row r="1" spans="1:17" s="61" customFormat="1" ht="29.25" customHeight="1">
      <c r="A1" s="60" t="s">
        <v>0</v>
      </c>
      <c r="B1" s="58" t="s">
        <v>68</v>
      </c>
      <c r="C1" s="58" t="s">
        <v>416</v>
      </c>
      <c r="D1" s="62" t="s">
        <v>417</v>
      </c>
      <c r="E1" s="62" t="s">
        <v>418</v>
      </c>
      <c r="F1" s="61" t="s">
        <v>427</v>
      </c>
      <c r="G1" s="61" t="s">
        <v>428</v>
      </c>
      <c r="H1" s="67" t="s">
        <v>429</v>
      </c>
      <c r="I1" s="61" t="s">
        <v>430</v>
      </c>
      <c r="J1" s="61" t="s">
        <v>431</v>
      </c>
      <c r="K1" s="61" t="s">
        <v>432</v>
      </c>
      <c r="L1" s="61" t="s">
        <v>433</v>
      </c>
      <c r="M1" s="61" t="s">
        <v>434</v>
      </c>
      <c r="N1" s="61" t="s">
        <v>443</v>
      </c>
      <c r="O1" s="61" t="s">
        <v>444</v>
      </c>
      <c r="P1" s="75" t="s">
        <v>445</v>
      </c>
      <c r="Q1" s="61" t="s">
        <v>446</v>
      </c>
    </row>
    <row r="2" spans="1:17">
      <c r="A2" s="52">
        <v>46082</v>
      </c>
      <c r="B2" s="1">
        <v>3</v>
      </c>
      <c r="C2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2" t="str">
        <f>IF(AND(visits_daily[[#This Row],[Визиты]]&gt;=10,WEEKDAY(visits_daily[[#This Row],[Период]],2)&lt;=5),"Рабочий пик","Обычный день")</f>
        <v>Обычный день</v>
      </c>
      <c r="E2" t="str">
        <f>IF(OR(visits_daily[[#This Row],[Визиты]]=0,visits_daily[[#This Row],[Визиты]]=1),"Мёртвый день","Нормальный")</f>
        <v>Нормальный</v>
      </c>
      <c r="F2" t="str">
        <f>TEXT(visits_daily[[#This Row],[Период]],"дддд")</f>
        <v>воскресенье</v>
      </c>
      <c r="G2" s="66" t="str">
        <f>TEXT(visits_daily[[#This Row],[Период]],"ММММ ГГГГ")</f>
        <v>Март 2026</v>
      </c>
      <c r="H2" s="66">
        <f>WEEKNUM(visits_daily[[#This Row],[Период]],2)</f>
        <v>9</v>
      </c>
      <c r="I2" s="66">
        <f>WEEKDAY(visits_daily[[#This Row],[Период]],2)</f>
        <v>7</v>
      </c>
      <c r="J2" s="66">
        <f>MONTH(visits_daily[[#This Row],[Период]])</f>
        <v>3</v>
      </c>
      <c r="K2" s="66">
        <f>DAY(visits_daily[[#This Row],[Период]])</f>
        <v>1</v>
      </c>
      <c r="L2" s="66">
        <f>visits_daily[[#This Row],[Период]]-MIN(visits_daily[Период])</f>
        <v>0</v>
      </c>
      <c r="M2" s="72">
        <f>DATE(2026,3,21)-visits_daily[[#This Row],[Период]]</f>
        <v>20</v>
      </c>
      <c r="N2" s="66">
        <f>SUM(visits_daily[[#Headers],[Визиты]]:visits_daily[[#This Row],[Визиты]])</f>
        <v>3</v>
      </c>
      <c r="O2" s="59">
        <f>visits_daily[[#This Row],[Визиты]]/SUM(visits_daily[Визиты])</f>
        <v>9.8684210526315784E-3</v>
      </c>
      <c r="P2" s="1" t="str">
        <f ca="1">IFERROR((visits_daily[[#This Row],[Визиты]]-OFFSET(visits_daily[[#This Row],[Визиты]],-1,0))/OFFSET(visits_daily[[#This Row],[Визиты]],-1,0),"")</f>
        <v/>
      </c>
      <c r="Q2" s="1">
        <f>visits_daily[[#This Row],[Визиты]]-AVERAGE(visits_daily[Визиты])</f>
        <v>-1.6769230769230772</v>
      </c>
    </row>
    <row r="3" spans="1:17">
      <c r="A3" s="52">
        <v>46083</v>
      </c>
      <c r="B3" s="1">
        <v>0</v>
      </c>
      <c r="C3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" t="str">
        <f>IF(AND(visits_daily[[#This Row],[Визиты]]&gt;=10,WEEKDAY(visits_daily[[#This Row],[Период]],2)&lt;=5),"Рабочий пик","Обычный день")</f>
        <v>Обычный день</v>
      </c>
      <c r="E3" t="str">
        <f>IF(OR(visits_daily[[#This Row],[Визиты]]=0,visits_daily[[#This Row],[Визиты]]=1),"Мёртвый день","Нормальный")</f>
        <v>Мёртвый день</v>
      </c>
      <c r="F3" s="1" t="str">
        <f>TEXT(visits_daily[[#This Row],[Период]],"дддд")</f>
        <v>понедельник</v>
      </c>
      <c r="G3" s="66" t="str">
        <f>TEXT(visits_daily[[#This Row],[Период]],"ММММ ГГГГ")</f>
        <v>Март 2026</v>
      </c>
      <c r="H3" s="66">
        <f>WEEKNUM(visits_daily[[#This Row],[Период]],2)</f>
        <v>10</v>
      </c>
      <c r="I3" s="66">
        <f>WEEKDAY(visits_daily[[#This Row],[Период]],2)</f>
        <v>1</v>
      </c>
      <c r="J3" s="66">
        <f>MONTH(visits_daily[[#This Row],[Период]])</f>
        <v>3</v>
      </c>
      <c r="K3" s="66">
        <f>DAY(visits_daily[[#This Row],[Период]])</f>
        <v>2</v>
      </c>
      <c r="L3" s="66">
        <f>visits_daily[[#This Row],[Период]]-MIN(visits_daily[Период])</f>
        <v>1</v>
      </c>
      <c r="M3" s="72">
        <f>DATE(2026,3,21)-visits_daily[[#This Row],[Период]]</f>
        <v>19</v>
      </c>
      <c r="N3" s="66">
        <f>SUM(visits_daily[[#Headers],[Визиты]]:visits_daily[[#This Row],[Визиты]])</f>
        <v>3</v>
      </c>
      <c r="O3" s="66">
        <f>visits_daily[[#This Row],[Визиты]]/SUM(visits_daily[Визиты])</f>
        <v>0</v>
      </c>
      <c r="P3" s="1">
        <f ca="1">IFERROR((visits_daily[[#This Row],[Визиты]]-OFFSET(visits_daily[[#This Row],[Визиты]],-1,0))/OFFSET(visits_daily[[#This Row],[Визиты]],-1,0),"")</f>
        <v>-1</v>
      </c>
      <c r="Q3" s="1">
        <f>visits_daily[[#This Row],[Визиты]]-AVERAGE(visits_daily[Визиты])</f>
        <v>-4.6769230769230772</v>
      </c>
    </row>
    <row r="4" spans="1:17">
      <c r="A4" s="52">
        <v>46084</v>
      </c>
      <c r="B4" s="1">
        <v>23</v>
      </c>
      <c r="C4" s="56" t="str">
        <f>IF(visits_daily[[#This Row],[Визиты]]&gt;=15,"Пик",IF(visits_daily[[#This Row],[Визиты]]&gt;=10,"Высокий",IF(visits_daily[[#This Row],[Визиты]]&gt;=5,"Средний","Низкий")))</f>
        <v>Пик</v>
      </c>
      <c r="D4" t="str">
        <f>IF(AND(visits_daily[[#This Row],[Визиты]]&gt;=10,WEEKDAY(visits_daily[[#This Row],[Период]],2)&lt;=5),"Рабочий пик","Обычный день")</f>
        <v>Рабочий пик</v>
      </c>
      <c r="E4" t="str">
        <f>IF(OR(visits_daily[[#This Row],[Визиты]]=0,visits_daily[[#This Row],[Визиты]]=1),"Мёртвый день","Нормальный")</f>
        <v>Нормальный</v>
      </c>
      <c r="F4" t="str">
        <f>TEXT(visits_daily[[#This Row],[Период]],"дддд")</f>
        <v>вторник</v>
      </c>
      <c r="G4" s="66" t="str">
        <f>TEXT(visits_daily[[#This Row],[Период]],"ММММ ГГГГ")</f>
        <v>Март 2026</v>
      </c>
      <c r="H4" s="66">
        <f>WEEKNUM(visits_daily[[#This Row],[Период]],2)</f>
        <v>10</v>
      </c>
      <c r="I4" s="66">
        <f>WEEKDAY(visits_daily[[#This Row],[Период]],2)</f>
        <v>2</v>
      </c>
      <c r="J4" s="66">
        <f>MONTH(visits_daily[[#This Row],[Период]])</f>
        <v>3</v>
      </c>
      <c r="K4" s="66">
        <f>DAY(visits_daily[[#This Row],[Период]])</f>
        <v>3</v>
      </c>
      <c r="L4" s="66">
        <f>visits_daily[[#This Row],[Период]]-MIN(visits_daily[Период])</f>
        <v>2</v>
      </c>
      <c r="M4" s="72">
        <f>DATE(2026,3,21)-visits_daily[[#This Row],[Период]]</f>
        <v>18</v>
      </c>
      <c r="N4" s="66">
        <f>SUM(visits_daily[[#Headers],[Визиты]]:visits_daily[[#This Row],[Визиты]])</f>
        <v>26</v>
      </c>
      <c r="O4" s="66">
        <f>visits_daily[[#This Row],[Визиты]]/SUM(visits_daily[Визиты])</f>
        <v>7.5657894736842105E-2</v>
      </c>
      <c r="P4" s="1" t="str">
        <f ca="1">IFERROR((visits_daily[[#This Row],[Визиты]]-OFFSET(visits_daily[[#This Row],[Визиты]],-1,0))/OFFSET(visits_daily[[#This Row],[Визиты]],-1,0),"")</f>
        <v/>
      </c>
      <c r="Q4" s="1">
        <f>visits_daily[[#This Row],[Визиты]]-AVERAGE(visits_daily[Визиты])</f>
        <v>18.323076923076922</v>
      </c>
    </row>
    <row r="5" spans="1:17">
      <c r="A5" s="52">
        <v>46085</v>
      </c>
      <c r="B5" s="1">
        <v>26</v>
      </c>
      <c r="C5" s="56" t="str">
        <f>IF(visits_daily[[#This Row],[Визиты]]&gt;=15,"Пик",IF(visits_daily[[#This Row],[Визиты]]&gt;=10,"Высокий",IF(visits_daily[[#This Row],[Визиты]]&gt;=5,"Средний","Низкий")))</f>
        <v>Пик</v>
      </c>
      <c r="D5" t="str">
        <f>IF(AND(visits_daily[[#This Row],[Визиты]]&gt;=10,WEEKDAY(visits_daily[[#This Row],[Период]],2)&lt;=5),"Рабочий пик","Обычный день")</f>
        <v>Рабочий пик</v>
      </c>
      <c r="E5" t="str">
        <f>IF(OR(visits_daily[[#This Row],[Визиты]]=0,visits_daily[[#This Row],[Визиты]]=1),"Мёртвый день","Нормальный")</f>
        <v>Нормальный</v>
      </c>
      <c r="F5" s="1" t="str">
        <f>TEXT(visits_daily[[#This Row],[Период]],"дддд")</f>
        <v>среда</v>
      </c>
      <c r="G5" s="66" t="str">
        <f>TEXT(visits_daily[[#This Row],[Период]],"ММММ ГГГГ")</f>
        <v>Март 2026</v>
      </c>
      <c r="H5" s="66">
        <f>WEEKNUM(visits_daily[[#This Row],[Период]],2)</f>
        <v>10</v>
      </c>
      <c r="I5" s="66">
        <f>WEEKDAY(visits_daily[[#This Row],[Период]],2)</f>
        <v>3</v>
      </c>
      <c r="J5" s="66">
        <f>MONTH(visits_daily[[#This Row],[Период]])</f>
        <v>3</v>
      </c>
      <c r="K5" s="66">
        <f>DAY(visits_daily[[#This Row],[Период]])</f>
        <v>4</v>
      </c>
      <c r="L5" s="66">
        <f>visits_daily[[#This Row],[Период]]-MIN(visits_daily[Период])</f>
        <v>3</v>
      </c>
      <c r="M5" s="72">
        <f>DATE(2026,3,21)-visits_daily[[#This Row],[Период]]</f>
        <v>17</v>
      </c>
      <c r="N5" s="66">
        <f>SUM(visits_daily[[#Headers],[Визиты]]:visits_daily[[#This Row],[Визиты]])</f>
        <v>52</v>
      </c>
      <c r="O5" s="66">
        <f>visits_daily[[#This Row],[Визиты]]/SUM(visits_daily[Визиты])</f>
        <v>8.5526315789473686E-2</v>
      </c>
      <c r="P5" s="1">
        <f ca="1">IFERROR((visits_daily[[#This Row],[Визиты]]-OFFSET(visits_daily[[#This Row],[Визиты]],-1,0))/OFFSET(visits_daily[[#This Row],[Визиты]],-1,0),"")</f>
        <v>0.13043478260869565</v>
      </c>
      <c r="Q5" s="1">
        <f>visits_daily[[#This Row],[Визиты]]-AVERAGE(visits_daily[Визиты])</f>
        <v>21.323076923076922</v>
      </c>
    </row>
    <row r="6" spans="1:17">
      <c r="A6" s="52">
        <v>46086</v>
      </c>
      <c r="B6" s="1">
        <v>7</v>
      </c>
      <c r="C6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6" t="str">
        <f>IF(AND(visits_daily[[#This Row],[Визиты]]&gt;=10,WEEKDAY(visits_daily[[#This Row],[Период]],2)&lt;=5),"Рабочий пик","Обычный день")</f>
        <v>Обычный день</v>
      </c>
      <c r="E6" t="str">
        <f>IF(OR(visits_daily[[#This Row],[Визиты]]=0,visits_daily[[#This Row],[Визиты]]=1),"Мёртвый день","Нормальный")</f>
        <v>Нормальный</v>
      </c>
      <c r="F6" t="str">
        <f>TEXT(visits_daily[[#This Row],[Период]],"дддд")</f>
        <v>четверг</v>
      </c>
      <c r="G6" s="66" t="str">
        <f>TEXT(visits_daily[[#This Row],[Период]],"ММММ ГГГГ")</f>
        <v>Март 2026</v>
      </c>
      <c r="H6" s="66">
        <f>WEEKNUM(visits_daily[[#This Row],[Период]],2)</f>
        <v>10</v>
      </c>
      <c r="I6" s="66">
        <f>WEEKDAY(visits_daily[[#This Row],[Период]],2)</f>
        <v>4</v>
      </c>
      <c r="J6" s="66">
        <f>MONTH(visits_daily[[#This Row],[Период]])</f>
        <v>3</v>
      </c>
      <c r="K6" s="66">
        <f>DAY(visits_daily[[#This Row],[Период]])</f>
        <v>5</v>
      </c>
      <c r="L6" s="66">
        <f>visits_daily[[#This Row],[Период]]-MIN(visits_daily[Период])</f>
        <v>4</v>
      </c>
      <c r="M6" s="72">
        <f>DATE(2026,3,21)-visits_daily[[#This Row],[Период]]</f>
        <v>16</v>
      </c>
      <c r="N6" s="66">
        <f>SUM(visits_daily[[#Headers],[Визиты]]:visits_daily[[#This Row],[Визиты]])</f>
        <v>59</v>
      </c>
      <c r="O6" s="66">
        <f>visits_daily[[#This Row],[Визиты]]/SUM(visits_daily[Визиты])</f>
        <v>2.3026315789473683E-2</v>
      </c>
      <c r="P6" s="1">
        <f ca="1">IFERROR((visits_daily[[#This Row],[Визиты]]-OFFSET(visits_daily[[#This Row],[Визиты]],-1,0))/OFFSET(visits_daily[[#This Row],[Визиты]],-1,0),"")</f>
        <v>-0.73076923076923073</v>
      </c>
      <c r="Q6" s="1">
        <f>visits_daily[[#This Row],[Визиты]]-AVERAGE(visits_daily[Визиты])</f>
        <v>2.3230769230769228</v>
      </c>
    </row>
    <row r="7" spans="1:17">
      <c r="A7" s="52">
        <v>46087</v>
      </c>
      <c r="B7" s="1">
        <v>5</v>
      </c>
      <c r="C7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7" t="str">
        <f>IF(AND(visits_daily[[#This Row],[Визиты]]&gt;=10,WEEKDAY(visits_daily[[#This Row],[Период]],2)&lt;=5),"Рабочий пик","Обычный день")</f>
        <v>Обычный день</v>
      </c>
      <c r="E7" t="str">
        <f>IF(OR(visits_daily[[#This Row],[Визиты]]=0,visits_daily[[#This Row],[Визиты]]=1),"Мёртвый день","Нормальный")</f>
        <v>Нормальный</v>
      </c>
      <c r="F7" t="str">
        <f>TEXT(visits_daily[[#This Row],[Период]],"дддд")</f>
        <v>пятница</v>
      </c>
      <c r="G7" s="66" t="str">
        <f>TEXT(visits_daily[[#This Row],[Период]],"ММММ ГГГГ")</f>
        <v>Март 2026</v>
      </c>
      <c r="H7" s="66">
        <f>WEEKNUM(visits_daily[[#This Row],[Период]],2)</f>
        <v>10</v>
      </c>
      <c r="I7" s="66">
        <f>WEEKDAY(visits_daily[[#This Row],[Период]],2)</f>
        <v>5</v>
      </c>
      <c r="J7" s="66">
        <f>MONTH(visits_daily[[#This Row],[Период]])</f>
        <v>3</v>
      </c>
      <c r="K7" s="66">
        <f>DAY(visits_daily[[#This Row],[Период]])</f>
        <v>6</v>
      </c>
      <c r="L7" s="66">
        <f>visits_daily[[#This Row],[Период]]-MIN(visits_daily[Период])</f>
        <v>5</v>
      </c>
      <c r="M7" s="72">
        <f>DATE(2026,3,21)-visits_daily[[#This Row],[Период]]</f>
        <v>15</v>
      </c>
      <c r="N7" s="66">
        <f>SUM(visits_daily[[#Headers],[Визиты]]:visits_daily[[#This Row],[Визиты]])</f>
        <v>64</v>
      </c>
      <c r="O7" s="66">
        <f>visits_daily[[#This Row],[Визиты]]/SUM(visits_daily[Визиты])</f>
        <v>1.6447368421052631E-2</v>
      </c>
      <c r="P7" s="1">
        <f ca="1">IFERROR((visits_daily[[#This Row],[Визиты]]-OFFSET(visits_daily[[#This Row],[Визиты]],-1,0))/OFFSET(visits_daily[[#This Row],[Визиты]],-1,0),"")</f>
        <v>-0.2857142857142857</v>
      </c>
      <c r="Q7" s="1">
        <f>visits_daily[[#This Row],[Визиты]]-AVERAGE(visits_daily[Визиты])</f>
        <v>0.32307692307692282</v>
      </c>
    </row>
    <row r="8" spans="1:17">
      <c r="A8" s="52">
        <v>46088</v>
      </c>
      <c r="B8" s="1">
        <v>4</v>
      </c>
      <c r="C8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8" t="str">
        <f>IF(AND(visits_daily[[#This Row],[Визиты]]&gt;=10,WEEKDAY(visits_daily[[#This Row],[Период]],2)&lt;=5),"Рабочий пик","Обычный день")</f>
        <v>Обычный день</v>
      </c>
      <c r="E8" t="str">
        <f>IF(OR(visits_daily[[#This Row],[Визиты]]=0,visits_daily[[#This Row],[Визиты]]=1),"Мёртвый день","Нормальный")</f>
        <v>Нормальный</v>
      </c>
      <c r="F8" s="1" t="str">
        <f>TEXT(visits_daily[[#This Row],[Период]],"дддд")</f>
        <v>суббота</v>
      </c>
      <c r="G8" s="66" t="str">
        <f>TEXT(visits_daily[[#This Row],[Период]],"ММММ ГГГГ")</f>
        <v>Март 2026</v>
      </c>
      <c r="H8" s="66">
        <f>WEEKNUM(visits_daily[[#This Row],[Период]],2)</f>
        <v>10</v>
      </c>
      <c r="I8" s="66">
        <f>WEEKDAY(visits_daily[[#This Row],[Период]],2)</f>
        <v>6</v>
      </c>
      <c r="J8" s="66">
        <f>MONTH(visits_daily[[#This Row],[Период]])</f>
        <v>3</v>
      </c>
      <c r="K8" s="66">
        <f>DAY(visits_daily[[#This Row],[Период]])</f>
        <v>7</v>
      </c>
      <c r="L8" s="66">
        <f>visits_daily[[#This Row],[Период]]-MIN(visits_daily[Период])</f>
        <v>6</v>
      </c>
      <c r="M8" s="72">
        <f>DATE(2026,3,21)-visits_daily[[#This Row],[Период]]</f>
        <v>14</v>
      </c>
      <c r="N8" s="66">
        <f>SUM(visits_daily[[#Headers],[Визиты]]:visits_daily[[#This Row],[Визиты]])</f>
        <v>68</v>
      </c>
      <c r="O8" s="66">
        <f>visits_daily[[#This Row],[Визиты]]/SUM(visits_daily[Визиты])</f>
        <v>1.3157894736842105E-2</v>
      </c>
      <c r="P8" s="1">
        <f ca="1">IFERROR((visits_daily[[#This Row],[Визиты]]-OFFSET(visits_daily[[#This Row],[Визиты]],-1,0))/OFFSET(visits_daily[[#This Row],[Визиты]],-1,0),"")</f>
        <v>-0.2</v>
      </c>
      <c r="Q8" s="1">
        <f>visits_daily[[#This Row],[Визиты]]-AVERAGE(visits_daily[Визиты])</f>
        <v>-0.67692307692307718</v>
      </c>
    </row>
    <row r="9" spans="1:17">
      <c r="A9" s="52">
        <v>46089</v>
      </c>
      <c r="B9" s="1">
        <v>1</v>
      </c>
      <c r="C9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9" t="str">
        <f>IF(AND(visits_daily[[#This Row],[Визиты]]&gt;=10,WEEKDAY(visits_daily[[#This Row],[Период]],2)&lt;=5),"Рабочий пик","Обычный день")</f>
        <v>Обычный день</v>
      </c>
      <c r="E9" t="str">
        <f>IF(OR(visits_daily[[#This Row],[Визиты]]=0,visits_daily[[#This Row],[Визиты]]=1),"Мёртвый день","Нормальный")</f>
        <v>Мёртвый день</v>
      </c>
      <c r="F9" t="str">
        <f>TEXT(visits_daily[[#This Row],[Период]],"дддд")</f>
        <v>воскресенье</v>
      </c>
      <c r="G9" s="66" t="str">
        <f>TEXT(visits_daily[[#This Row],[Период]],"ММММ ГГГГ")</f>
        <v>Март 2026</v>
      </c>
      <c r="H9" s="66">
        <f>WEEKNUM(visits_daily[[#This Row],[Период]],2)</f>
        <v>10</v>
      </c>
      <c r="I9" s="66">
        <f>WEEKDAY(visits_daily[[#This Row],[Период]],2)</f>
        <v>7</v>
      </c>
      <c r="J9" s="66">
        <f>MONTH(visits_daily[[#This Row],[Период]])</f>
        <v>3</v>
      </c>
      <c r="K9" s="66">
        <f>DAY(visits_daily[[#This Row],[Период]])</f>
        <v>8</v>
      </c>
      <c r="L9" s="66">
        <f>visits_daily[[#This Row],[Период]]-MIN(visits_daily[Период])</f>
        <v>7</v>
      </c>
      <c r="M9" s="72">
        <f>DATE(2026,3,21)-visits_daily[[#This Row],[Период]]</f>
        <v>13</v>
      </c>
      <c r="N9" s="66">
        <f>SUM(visits_daily[[#Headers],[Визиты]]:visits_daily[[#This Row],[Визиты]])</f>
        <v>69</v>
      </c>
      <c r="O9" s="66">
        <f>visits_daily[[#This Row],[Визиты]]/SUM(visits_daily[Визиты])</f>
        <v>3.2894736842105261E-3</v>
      </c>
      <c r="P9" s="1">
        <f ca="1">IFERROR((visits_daily[[#This Row],[Визиты]]-OFFSET(visits_daily[[#This Row],[Визиты]],-1,0))/OFFSET(visits_daily[[#This Row],[Визиты]],-1,0),"")</f>
        <v>-0.75</v>
      </c>
      <c r="Q9" s="1">
        <f>visits_daily[[#This Row],[Визиты]]-AVERAGE(visits_daily[Визиты])</f>
        <v>-3.6769230769230772</v>
      </c>
    </row>
    <row r="10" spans="1:17">
      <c r="A10" s="52">
        <v>46090</v>
      </c>
      <c r="B10" s="1">
        <v>2</v>
      </c>
      <c r="C10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10" t="str">
        <f>IF(AND(visits_daily[[#This Row],[Визиты]]&gt;=10,WEEKDAY(visits_daily[[#This Row],[Период]],2)&lt;=5),"Рабочий пик","Обычный день")</f>
        <v>Обычный день</v>
      </c>
      <c r="E10" s="59" t="str">
        <f>IF(OR(visits_daily[[#This Row],[Визиты]]=0,visits_daily[[#This Row],[Визиты]]=1),"Мёртвый день","Нормальный")</f>
        <v>Нормальный</v>
      </c>
      <c r="F10" t="str">
        <f>TEXT(visits_daily[[#This Row],[Период]],"дддд")</f>
        <v>понедельник</v>
      </c>
      <c r="G10" s="66" t="str">
        <f>TEXT(visits_daily[[#This Row],[Период]],"ММММ ГГГГ")</f>
        <v>Март 2026</v>
      </c>
      <c r="H10" s="66">
        <f>WEEKNUM(visits_daily[[#This Row],[Период]],2)</f>
        <v>11</v>
      </c>
      <c r="I10" s="66">
        <f>WEEKDAY(visits_daily[[#This Row],[Период]],2)</f>
        <v>1</v>
      </c>
      <c r="J10" s="66">
        <f>MONTH(visits_daily[[#This Row],[Период]])</f>
        <v>3</v>
      </c>
      <c r="K10" s="66">
        <f>DAY(visits_daily[[#This Row],[Период]])</f>
        <v>9</v>
      </c>
      <c r="L10" s="66">
        <f>visits_daily[[#This Row],[Период]]-MIN(visits_daily[Период])</f>
        <v>8</v>
      </c>
      <c r="M10" s="72">
        <f>DATE(2026,3,21)-visits_daily[[#This Row],[Период]]</f>
        <v>12</v>
      </c>
      <c r="N10" s="66">
        <f>SUM(visits_daily[[#Headers],[Визиты]]:visits_daily[[#This Row],[Визиты]])</f>
        <v>71</v>
      </c>
      <c r="O10" s="66">
        <f>visits_daily[[#This Row],[Визиты]]/SUM(visits_daily[Визиты])</f>
        <v>6.5789473684210523E-3</v>
      </c>
      <c r="P10" s="1">
        <f ca="1">IFERROR((visits_daily[[#This Row],[Визиты]]-OFFSET(visits_daily[[#This Row],[Визиты]],-1,0))/OFFSET(visits_daily[[#This Row],[Визиты]],-1,0),"")</f>
        <v>1</v>
      </c>
      <c r="Q10" s="1">
        <f>visits_daily[[#This Row],[Визиты]]-AVERAGE(visits_daily[Визиты])</f>
        <v>-2.6769230769230772</v>
      </c>
    </row>
    <row r="11" spans="1:17">
      <c r="A11" s="52">
        <v>46091</v>
      </c>
      <c r="B11" s="1">
        <v>21</v>
      </c>
      <c r="C11" s="56" t="str">
        <f>IF(visits_daily[[#This Row],[Визиты]]&gt;=15,"Пик",IF(visits_daily[[#This Row],[Визиты]]&gt;=10,"Высокий",IF(visits_daily[[#This Row],[Визиты]]&gt;=5,"Средний","Низкий")))</f>
        <v>Пик</v>
      </c>
      <c r="D11" t="str">
        <f>IF(AND(visits_daily[[#This Row],[Визиты]]&gt;=10,WEEKDAY(visits_daily[[#This Row],[Период]],2)&lt;=5),"Рабочий пик","Обычный день")</f>
        <v>Рабочий пик</v>
      </c>
      <c r="E11" t="str">
        <f>IF(OR(visits_daily[[#This Row],[Визиты]]=0,visits_daily[[#This Row],[Визиты]]=1),"Мёртвый день","Нормальный")</f>
        <v>Нормальный</v>
      </c>
      <c r="F11" s="1" t="str">
        <f>TEXT(visits_daily[[#This Row],[Период]],"дддд")</f>
        <v>вторник</v>
      </c>
      <c r="G11" s="66" t="str">
        <f>TEXT(visits_daily[[#This Row],[Период]],"ММММ ГГГГ")</f>
        <v>Март 2026</v>
      </c>
      <c r="H11" s="66">
        <f>WEEKNUM(visits_daily[[#This Row],[Период]],2)</f>
        <v>11</v>
      </c>
      <c r="I11" s="66">
        <f>WEEKDAY(visits_daily[[#This Row],[Период]],2)</f>
        <v>2</v>
      </c>
      <c r="J11" s="66">
        <f>MONTH(visits_daily[[#This Row],[Период]])</f>
        <v>3</v>
      </c>
      <c r="K11" s="66">
        <f>DAY(visits_daily[[#This Row],[Период]])</f>
        <v>10</v>
      </c>
      <c r="L11" s="66">
        <f>visits_daily[[#This Row],[Период]]-MIN(visits_daily[Период])</f>
        <v>9</v>
      </c>
      <c r="M11" s="72">
        <f>DATE(2026,3,21)-visits_daily[[#This Row],[Период]]</f>
        <v>11</v>
      </c>
      <c r="N11" s="66">
        <f>SUM(visits_daily[[#Headers],[Визиты]]:visits_daily[[#This Row],[Визиты]])</f>
        <v>92</v>
      </c>
      <c r="O11" s="66">
        <f>visits_daily[[#This Row],[Визиты]]/SUM(visits_daily[Визиты])</f>
        <v>6.9078947368421059E-2</v>
      </c>
      <c r="P11" s="1">
        <f ca="1">IFERROR((visits_daily[[#This Row],[Визиты]]-OFFSET(visits_daily[[#This Row],[Визиты]],-1,0))/OFFSET(visits_daily[[#This Row],[Визиты]],-1,0),"")</f>
        <v>9.5</v>
      </c>
      <c r="Q11" s="1">
        <f>visits_daily[[#This Row],[Визиты]]-AVERAGE(visits_daily[Визиты])</f>
        <v>16.323076923076922</v>
      </c>
    </row>
    <row r="12" spans="1:17">
      <c r="A12" s="52">
        <v>46092</v>
      </c>
      <c r="B12" s="1">
        <v>5</v>
      </c>
      <c r="C12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12" t="str">
        <f>IF(AND(visits_daily[[#This Row],[Визиты]]&gt;=10,WEEKDAY(visits_daily[[#This Row],[Период]],2)&lt;=5),"Рабочий пик","Обычный день")</f>
        <v>Обычный день</v>
      </c>
      <c r="E12" t="str">
        <f>IF(OR(visits_daily[[#This Row],[Визиты]]=0,visits_daily[[#This Row],[Визиты]]=1),"Мёртвый день","Нормальный")</f>
        <v>Нормальный</v>
      </c>
      <c r="F12" t="str">
        <f>TEXT(visits_daily[[#This Row],[Период]],"дддд")</f>
        <v>среда</v>
      </c>
      <c r="G12" s="66" t="str">
        <f>TEXT(visits_daily[[#This Row],[Период]],"ММММ ГГГГ")</f>
        <v>Март 2026</v>
      </c>
      <c r="H12" s="66">
        <f>WEEKNUM(visits_daily[[#This Row],[Период]],2)</f>
        <v>11</v>
      </c>
      <c r="I12" s="66">
        <f>WEEKDAY(visits_daily[[#This Row],[Период]],2)</f>
        <v>3</v>
      </c>
      <c r="J12" s="66">
        <f>MONTH(visits_daily[[#This Row],[Период]])</f>
        <v>3</v>
      </c>
      <c r="K12" s="66">
        <f>DAY(visits_daily[[#This Row],[Период]])</f>
        <v>11</v>
      </c>
      <c r="L12" s="66">
        <f>visits_daily[[#This Row],[Период]]-MIN(visits_daily[Период])</f>
        <v>10</v>
      </c>
      <c r="M12" s="72">
        <f>DATE(2026,3,21)-visits_daily[[#This Row],[Период]]</f>
        <v>10</v>
      </c>
      <c r="N12" s="66">
        <f>SUM(visits_daily[[#Headers],[Визиты]]:visits_daily[[#This Row],[Визиты]])</f>
        <v>97</v>
      </c>
      <c r="O12" s="66">
        <f>visits_daily[[#This Row],[Визиты]]/SUM(visits_daily[Визиты])</f>
        <v>1.6447368421052631E-2</v>
      </c>
      <c r="P12" s="1">
        <f ca="1">IFERROR((visits_daily[[#This Row],[Визиты]]-OFFSET(visits_daily[[#This Row],[Визиты]],-1,0))/OFFSET(visits_daily[[#This Row],[Визиты]],-1,0),"")</f>
        <v>-0.76190476190476186</v>
      </c>
      <c r="Q12" s="1">
        <f>visits_daily[[#This Row],[Визиты]]-AVERAGE(visits_daily[Визиты])</f>
        <v>0.32307692307692282</v>
      </c>
    </row>
    <row r="13" spans="1:17">
      <c r="A13" s="52">
        <v>46093</v>
      </c>
      <c r="B13" s="1">
        <v>2</v>
      </c>
      <c r="C13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13" t="str">
        <f>IF(AND(visits_daily[[#This Row],[Визиты]]&gt;=10,WEEKDAY(visits_daily[[#This Row],[Период]],2)&lt;=5),"Рабочий пик","Обычный день")</f>
        <v>Обычный день</v>
      </c>
      <c r="E13" t="str">
        <f>IF(OR(visits_daily[[#This Row],[Визиты]]=0,visits_daily[[#This Row],[Визиты]]=1),"Мёртвый день","Нормальный")</f>
        <v>Нормальный</v>
      </c>
      <c r="F13" t="str">
        <f>TEXT(visits_daily[[#This Row],[Период]],"дддд")</f>
        <v>четверг</v>
      </c>
      <c r="G13" s="66" t="str">
        <f>TEXT(visits_daily[[#This Row],[Период]],"ММММ ГГГГ")</f>
        <v>Март 2026</v>
      </c>
      <c r="H13" s="66">
        <f>WEEKNUM(visits_daily[[#This Row],[Период]],2)</f>
        <v>11</v>
      </c>
      <c r="I13" s="66">
        <f>WEEKDAY(visits_daily[[#This Row],[Период]],2)</f>
        <v>4</v>
      </c>
      <c r="J13" s="66">
        <f>MONTH(visits_daily[[#This Row],[Период]])</f>
        <v>3</v>
      </c>
      <c r="K13" s="66">
        <f>DAY(visits_daily[[#This Row],[Период]])</f>
        <v>12</v>
      </c>
      <c r="L13" s="66">
        <f>visits_daily[[#This Row],[Период]]-MIN(visits_daily[Период])</f>
        <v>11</v>
      </c>
      <c r="M13" s="72">
        <f>DATE(2026,3,21)-visits_daily[[#This Row],[Период]]</f>
        <v>9</v>
      </c>
      <c r="N13" s="66">
        <f>SUM(visits_daily[[#Headers],[Визиты]]:visits_daily[[#This Row],[Визиты]])</f>
        <v>99</v>
      </c>
      <c r="O13" s="66">
        <f>visits_daily[[#This Row],[Визиты]]/SUM(visits_daily[Визиты])</f>
        <v>6.5789473684210523E-3</v>
      </c>
      <c r="P13" s="1">
        <f ca="1">IFERROR((visits_daily[[#This Row],[Визиты]]-OFFSET(visits_daily[[#This Row],[Визиты]],-1,0))/OFFSET(visits_daily[[#This Row],[Визиты]],-1,0),"")</f>
        <v>-0.6</v>
      </c>
      <c r="Q13" s="1">
        <f>visits_daily[[#This Row],[Визиты]]-AVERAGE(visits_daily[Визиты])</f>
        <v>-2.6769230769230772</v>
      </c>
    </row>
    <row r="14" spans="1:17">
      <c r="A14" s="52">
        <v>46094</v>
      </c>
      <c r="B14" s="1">
        <v>1</v>
      </c>
      <c r="C14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14" t="str">
        <f>IF(AND(visits_daily[[#This Row],[Визиты]]&gt;=10,WEEKDAY(visits_daily[[#This Row],[Период]],2)&lt;=5),"Рабочий пик","Обычный день")</f>
        <v>Обычный день</v>
      </c>
      <c r="E14" t="str">
        <f>IF(OR(visits_daily[[#This Row],[Визиты]]=0,visits_daily[[#This Row],[Визиты]]=1),"Мёртвый день","Нормальный")</f>
        <v>Мёртвый день</v>
      </c>
      <c r="F14" t="str">
        <f>TEXT(visits_daily[[#This Row],[Период]],"дддд")</f>
        <v>пятница</v>
      </c>
      <c r="G14" s="66" t="str">
        <f>TEXT(visits_daily[[#This Row],[Период]],"ММММ ГГГГ")</f>
        <v>Март 2026</v>
      </c>
      <c r="H14" s="66">
        <f>WEEKNUM(visits_daily[[#This Row],[Период]],2)</f>
        <v>11</v>
      </c>
      <c r="I14" s="66">
        <f>WEEKDAY(visits_daily[[#This Row],[Период]],2)</f>
        <v>5</v>
      </c>
      <c r="J14" s="66">
        <f>MONTH(visits_daily[[#This Row],[Период]])</f>
        <v>3</v>
      </c>
      <c r="K14" s="66">
        <f>DAY(visits_daily[[#This Row],[Период]])</f>
        <v>13</v>
      </c>
      <c r="L14" s="66">
        <f>visits_daily[[#This Row],[Период]]-MIN(visits_daily[Период])</f>
        <v>12</v>
      </c>
      <c r="M14" s="72">
        <f>DATE(2026,3,21)-visits_daily[[#This Row],[Период]]</f>
        <v>8</v>
      </c>
      <c r="N14" s="66">
        <f>SUM(visits_daily[[#Headers],[Визиты]]:visits_daily[[#This Row],[Визиты]])</f>
        <v>100</v>
      </c>
      <c r="O14" s="66">
        <f>visits_daily[[#This Row],[Визиты]]/SUM(visits_daily[Визиты])</f>
        <v>3.2894736842105261E-3</v>
      </c>
      <c r="P14" s="1">
        <f ca="1">IFERROR((visits_daily[[#This Row],[Визиты]]-OFFSET(visits_daily[[#This Row],[Визиты]],-1,0))/OFFSET(visits_daily[[#This Row],[Визиты]],-1,0),"")</f>
        <v>-0.5</v>
      </c>
      <c r="Q14" s="1">
        <f>visits_daily[[#This Row],[Визиты]]-AVERAGE(visits_daily[Визиты])</f>
        <v>-3.6769230769230772</v>
      </c>
    </row>
    <row r="15" spans="1:17">
      <c r="A15" s="52">
        <v>46095</v>
      </c>
      <c r="B15" s="1">
        <v>6</v>
      </c>
      <c r="C15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15" t="str">
        <f>IF(AND(visits_daily[[#This Row],[Визиты]]&gt;=10,WEEKDAY(visits_daily[[#This Row],[Период]],2)&lt;=5),"Рабочий пик","Обычный день")</f>
        <v>Обычный день</v>
      </c>
      <c r="E15" t="str">
        <f>IF(OR(visits_daily[[#This Row],[Визиты]]=0,visits_daily[[#This Row],[Визиты]]=1),"Мёртвый день","Нормальный")</f>
        <v>Нормальный</v>
      </c>
      <c r="F15" t="str">
        <f>TEXT(visits_daily[[#This Row],[Период]],"дддд")</f>
        <v>суббота</v>
      </c>
      <c r="G15" s="66" t="str">
        <f>TEXT(visits_daily[[#This Row],[Период]],"ММММ ГГГГ")</f>
        <v>Март 2026</v>
      </c>
      <c r="H15" s="66">
        <f>WEEKNUM(visits_daily[[#This Row],[Период]],2)</f>
        <v>11</v>
      </c>
      <c r="I15" s="66">
        <f>WEEKDAY(visits_daily[[#This Row],[Период]],2)</f>
        <v>6</v>
      </c>
      <c r="J15" s="66">
        <f>MONTH(visits_daily[[#This Row],[Период]])</f>
        <v>3</v>
      </c>
      <c r="K15" s="66">
        <f>DAY(visits_daily[[#This Row],[Период]])</f>
        <v>14</v>
      </c>
      <c r="L15" s="66">
        <f>visits_daily[[#This Row],[Период]]-MIN(visits_daily[Период])</f>
        <v>13</v>
      </c>
      <c r="M15" s="72">
        <f>DATE(2026,3,21)-visits_daily[[#This Row],[Период]]</f>
        <v>7</v>
      </c>
      <c r="N15" s="66">
        <f>SUM(visits_daily[[#Headers],[Визиты]]:visits_daily[[#This Row],[Визиты]])</f>
        <v>106</v>
      </c>
      <c r="O15" s="66">
        <f>visits_daily[[#This Row],[Визиты]]/SUM(visits_daily[Визиты])</f>
        <v>1.9736842105263157E-2</v>
      </c>
      <c r="P15" s="1">
        <f ca="1">IFERROR((visits_daily[[#This Row],[Визиты]]-OFFSET(visits_daily[[#This Row],[Визиты]],-1,0))/OFFSET(visits_daily[[#This Row],[Визиты]],-1,0),"")</f>
        <v>5</v>
      </c>
      <c r="Q15" s="1">
        <f>visits_daily[[#This Row],[Визиты]]-AVERAGE(visits_daily[Визиты])</f>
        <v>1.3230769230769228</v>
      </c>
    </row>
    <row r="16" spans="1:17">
      <c r="A16" s="52">
        <v>46096</v>
      </c>
      <c r="B16" s="1">
        <v>1</v>
      </c>
      <c r="C16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16" t="str">
        <f>IF(AND(visits_daily[[#This Row],[Визиты]]&gt;=10,WEEKDAY(visits_daily[[#This Row],[Период]],2)&lt;=5),"Рабочий пик","Обычный день")</f>
        <v>Обычный день</v>
      </c>
      <c r="E16" t="str">
        <f>IF(OR(visits_daily[[#This Row],[Визиты]]=0,visits_daily[[#This Row],[Визиты]]=1),"Мёртвый день","Нормальный")</f>
        <v>Мёртвый день</v>
      </c>
      <c r="F16" s="1" t="str">
        <f>TEXT(visits_daily[[#This Row],[Период]],"дддд")</f>
        <v>воскресенье</v>
      </c>
      <c r="G16" s="66" t="str">
        <f>TEXT(visits_daily[[#This Row],[Период]],"ММММ ГГГГ")</f>
        <v>Март 2026</v>
      </c>
      <c r="H16" s="66">
        <f>WEEKNUM(visits_daily[[#This Row],[Период]],2)</f>
        <v>11</v>
      </c>
      <c r="I16" s="66">
        <f>WEEKDAY(visits_daily[[#This Row],[Период]],2)</f>
        <v>7</v>
      </c>
      <c r="J16" s="66">
        <f>MONTH(visits_daily[[#This Row],[Период]])</f>
        <v>3</v>
      </c>
      <c r="K16" s="66">
        <f>DAY(visits_daily[[#This Row],[Период]])</f>
        <v>15</v>
      </c>
      <c r="L16" s="66">
        <f>visits_daily[[#This Row],[Период]]-MIN(visits_daily[Период])</f>
        <v>14</v>
      </c>
      <c r="M16" s="72">
        <f>DATE(2026,3,21)-visits_daily[[#This Row],[Период]]</f>
        <v>6</v>
      </c>
      <c r="N16" s="66">
        <f>SUM(visits_daily[[#Headers],[Визиты]]:visits_daily[[#This Row],[Визиты]])</f>
        <v>107</v>
      </c>
      <c r="O16" s="66">
        <f>visits_daily[[#This Row],[Визиты]]/SUM(visits_daily[Визиты])</f>
        <v>3.2894736842105261E-3</v>
      </c>
      <c r="P16" s="1">
        <f ca="1">IFERROR((visits_daily[[#This Row],[Визиты]]-OFFSET(visits_daily[[#This Row],[Визиты]],-1,0))/OFFSET(visits_daily[[#This Row],[Визиты]],-1,0),"")</f>
        <v>-0.83333333333333337</v>
      </c>
      <c r="Q16" s="1">
        <f>visits_daily[[#This Row],[Визиты]]-AVERAGE(visits_daily[Визиты])</f>
        <v>-3.6769230769230772</v>
      </c>
    </row>
    <row r="17" spans="1:17">
      <c r="A17" s="52">
        <v>46097</v>
      </c>
      <c r="B17" s="1">
        <v>8</v>
      </c>
      <c r="C17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17" t="str">
        <f>IF(AND(visits_daily[[#This Row],[Визиты]]&gt;=10,WEEKDAY(visits_daily[[#This Row],[Период]],2)&lt;=5),"Рабочий пик","Обычный день")</f>
        <v>Обычный день</v>
      </c>
      <c r="E17" t="str">
        <f>IF(OR(visits_daily[[#This Row],[Визиты]]=0,visits_daily[[#This Row],[Визиты]]=1),"Мёртвый день","Нормальный")</f>
        <v>Нормальный</v>
      </c>
      <c r="F17" t="str">
        <f>TEXT(visits_daily[[#This Row],[Период]],"дддд")</f>
        <v>понедельник</v>
      </c>
      <c r="G17" s="66" t="str">
        <f>TEXT(visits_daily[[#This Row],[Период]],"ММММ ГГГГ")</f>
        <v>Март 2026</v>
      </c>
      <c r="H17" s="66">
        <f>WEEKNUM(visits_daily[[#This Row],[Период]],2)</f>
        <v>12</v>
      </c>
      <c r="I17" s="66">
        <f>WEEKDAY(visits_daily[[#This Row],[Период]],2)</f>
        <v>1</v>
      </c>
      <c r="J17" s="66">
        <f>MONTH(visits_daily[[#This Row],[Период]])</f>
        <v>3</v>
      </c>
      <c r="K17" s="66">
        <f>DAY(visits_daily[[#This Row],[Период]])</f>
        <v>16</v>
      </c>
      <c r="L17" s="66">
        <f>visits_daily[[#This Row],[Период]]-MIN(visits_daily[Период])</f>
        <v>15</v>
      </c>
      <c r="M17" s="72">
        <f>DATE(2026,3,21)-visits_daily[[#This Row],[Период]]</f>
        <v>5</v>
      </c>
      <c r="N17" s="66">
        <f>SUM(visits_daily[[#Headers],[Визиты]]:visits_daily[[#This Row],[Визиты]])</f>
        <v>115</v>
      </c>
      <c r="O17" s="66">
        <f>visits_daily[[#This Row],[Визиты]]/SUM(visits_daily[Визиты])</f>
        <v>2.6315789473684209E-2</v>
      </c>
      <c r="P17" s="1">
        <f ca="1">IFERROR((visits_daily[[#This Row],[Визиты]]-OFFSET(visits_daily[[#This Row],[Визиты]],-1,0))/OFFSET(visits_daily[[#This Row],[Визиты]],-1,0),"")</f>
        <v>7</v>
      </c>
      <c r="Q17" s="1">
        <f>visits_daily[[#This Row],[Визиты]]-AVERAGE(visits_daily[Визиты])</f>
        <v>3.3230769230769228</v>
      </c>
    </row>
    <row r="18" spans="1:17">
      <c r="A18" s="52">
        <v>46098</v>
      </c>
      <c r="B18" s="1">
        <v>6</v>
      </c>
      <c r="C18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18" t="str">
        <f>IF(AND(visits_daily[[#This Row],[Визиты]]&gt;=10,WEEKDAY(visits_daily[[#This Row],[Период]],2)&lt;=5),"Рабочий пик","Обычный день")</f>
        <v>Обычный день</v>
      </c>
      <c r="E18" t="str">
        <f>IF(OR(visits_daily[[#This Row],[Визиты]]=0,visits_daily[[#This Row],[Визиты]]=1),"Мёртвый день","Нормальный")</f>
        <v>Нормальный</v>
      </c>
      <c r="F18" s="1" t="str">
        <f>TEXT(visits_daily[[#This Row],[Период]],"дддд")</f>
        <v>вторник</v>
      </c>
      <c r="G18" s="66" t="str">
        <f>TEXT(visits_daily[[#This Row],[Период]],"ММММ ГГГГ")</f>
        <v>Март 2026</v>
      </c>
      <c r="H18" s="66">
        <f>WEEKNUM(visits_daily[[#This Row],[Период]],2)</f>
        <v>12</v>
      </c>
      <c r="I18" s="66">
        <f>WEEKDAY(visits_daily[[#This Row],[Период]],2)</f>
        <v>2</v>
      </c>
      <c r="J18" s="66">
        <f>MONTH(visits_daily[[#This Row],[Период]])</f>
        <v>3</v>
      </c>
      <c r="K18" s="66">
        <f>DAY(visits_daily[[#This Row],[Период]])</f>
        <v>17</v>
      </c>
      <c r="L18" s="66">
        <f>visits_daily[[#This Row],[Период]]-MIN(visits_daily[Период])</f>
        <v>16</v>
      </c>
      <c r="M18" s="72">
        <f>DATE(2026,3,21)-visits_daily[[#This Row],[Период]]</f>
        <v>4</v>
      </c>
      <c r="N18" s="66">
        <f>SUM(visits_daily[[#Headers],[Визиты]]:visits_daily[[#This Row],[Визиты]])</f>
        <v>121</v>
      </c>
      <c r="O18" s="66">
        <f>visits_daily[[#This Row],[Визиты]]/SUM(visits_daily[Визиты])</f>
        <v>1.9736842105263157E-2</v>
      </c>
      <c r="P18" s="1">
        <f ca="1">IFERROR((visits_daily[[#This Row],[Визиты]]-OFFSET(visits_daily[[#This Row],[Визиты]],-1,0))/OFFSET(visits_daily[[#This Row],[Визиты]],-1,0),"")</f>
        <v>-0.25</v>
      </c>
      <c r="Q18" s="1">
        <f>visits_daily[[#This Row],[Визиты]]-AVERAGE(visits_daily[Визиты])</f>
        <v>1.3230769230769228</v>
      </c>
    </row>
    <row r="19" spans="1:17">
      <c r="A19" s="52">
        <v>46099</v>
      </c>
      <c r="B19" s="1">
        <v>12</v>
      </c>
      <c r="C19" s="56" t="str">
        <f>IF(visits_daily[[#This Row],[Визиты]]&gt;=15,"Пик",IF(visits_daily[[#This Row],[Визиты]]&gt;=10,"Высокий",IF(visits_daily[[#This Row],[Визиты]]&gt;=5,"Средний","Низкий")))</f>
        <v>Высокий</v>
      </c>
      <c r="D19" t="str">
        <f>IF(AND(visits_daily[[#This Row],[Визиты]]&gt;=10,WEEKDAY(visits_daily[[#This Row],[Период]],2)&lt;=5),"Рабочий пик","Обычный день")</f>
        <v>Рабочий пик</v>
      </c>
      <c r="E19" t="str">
        <f>IF(OR(visits_daily[[#This Row],[Визиты]]=0,visits_daily[[#This Row],[Визиты]]=1),"Мёртвый день","Нормальный")</f>
        <v>Нормальный</v>
      </c>
      <c r="F19" t="str">
        <f>TEXT(visits_daily[[#This Row],[Период]],"дддд")</f>
        <v>среда</v>
      </c>
      <c r="G19" s="66" t="str">
        <f>TEXT(visits_daily[[#This Row],[Период]],"ММММ ГГГГ")</f>
        <v>Март 2026</v>
      </c>
      <c r="H19" s="66">
        <f>WEEKNUM(visits_daily[[#This Row],[Период]],2)</f>
        <v>12</v>
      </c>
      <c r="I19" s="66">
        <f>WEEKDAY(visits_daily[[#This Row],[Период]],2)</f>
        <v>3</v>
      </c>
      <c r="J19" s="66">
        <f>MONTH(visits_daily[[#This Row],[Период]])</f>
        <v>3</v>
      </c>
      <c r="K19" s="66">
        <f>DAY(visits_daily[[#This Row],[Период]])</f>
        <v>18</v>
      </c>
      <c r="L19" s="66">
        <f>visits_daily[[#This Row],[Период]]-MIN(visits_daily[Период])</f>
        <v>17</v>
      </c>
      <c r="M19" s="72">
        <f>DATE(2026,3,21)-visits_daily[[#This Row],[Период]]</f>
        <v>3</v>
      </c>
      <c r="N19" s="66">
        <f>SUM(visits_daily[[#Headers],[Визиты]]:visits_daily[[#This Row],[Визиты]])</f>
        <v>133</v>
      </c>
      <c r="O19" s="66">
        <f>visits_daily[[#This Row],[Визиты]]/SUM(visits_daily[Визиты])</f>
        <v>3.9473684210526314E-2</v>
      </c>
      <c r="P19" s="1">
        <f ca="1">IFERROR((visits_daily[[#This Row],[Визиты]]-OFFSET(visits_daily[[#This Row],[Визиты]],-1,0))/OFFSET(visits_daily[[#This Row],[Визиты]],-1,0),"")</f>
        <v>1</v>
      </c>
      <c r="Q19" s="1">
        <f>visits_daily[[#This Row],[Визиты]]-AVERAGE(visits_daily[Визиты])</f>
        <v>7.3230769230769228</v>
      </c>
    </row>
    <row r="20" spans="1:17">
      <c r="A20" s="52">
        <v>46100</v>
      </c>
      <c r="B20" s="1">
        <v>14</v>
      </c>
      <c r="C20" s="56" t="str">
        <f>IF(visits_daily[[#This Row],[Визиты]]&gt;=15,"Пик",IF(visits_daily[[#This Row],[Визиты]]&gt;=10,"Высокий",IF(visits_daily[[#This Row],[Визиты]]&gt;=5,"Средний","Низкий")))</f>
        <v>Высокий</v>
      </c>
      <c r="D20" t="str">
        <f>IF(AND(visits_daily[[#This Row],[Визиты]]&gt;=10,WEEKDAY(visits_daily[[#This Row],[Период]],2)&lt;=5),"Рабочий пик","Обычный день")</f>
        <v>Рабочий пик</v>
      </c>
      <c r="E20" t="str">
        <f>IF(OR(visits_daily[[#This Row],[Визиты]]=0,visits_daily[[#This Row],[Визиты]]=1),"Мёртвый день","Нормальный")</f>
        <v>Нормальный</v>
      </c>
      <c r="F20" t="str">
        <f>TEXT(visits_daily[[#This Row],[Период]],"дддд")</f>
        <v>четверг</v>
      </c>
      <c r="G20" s="66" t="str">
        <f>TEXT(visits_daily[[#This Row],[Период]],"ММММ ГГГГ")</f>
        <v>Март 2026</v>
      </c>
      <c r="H20" s="66">
        <f>WEEKNUM(visits_daily[[#This Row],[Период]],2)</f>
        <v>12</v>
      </c>
      <c r="I20" s="66">
        <f>WEEKDAY(visits_daily[[#This Row],[Период]],2)</f>
        <v>4</v>
      </c>
      <c r="J20" s="66">
        <f>MONTH(visits_daily[[#This Row],[Период]])</f>
        <v>3</v>
      </c>
      <c r="K20" s="66">
        <f>DAY(visits_daily[[#This Row],[Период]])</f>
        <v>19</v>
      </c>
      <c r="L20" s="66">
        <f>visits_daily[[#This Row],[Период]]-MIN(visits_daily[Период])</f>
        <v>18</v>
      </c>
      <c r="M20" s="72">
        <f>DATE(2026,3,21)-visits_daily[[#This Row],[Период]]</f>
        <v>2</v>
      </c>
      <c r="N20" s="66">
        <f>SUM(visits_daily[[#Headers],[Визиты]]:visits_daily[[#This Row],[Визиты]])</f>
        <v>147</v>
      </c>
      <c r="O20" s="66">
        <f>visits_daily[[#This Row],[Визиты]]/SUM(visits_daily[Визиты])</f>
        <v>4.6052631578947366E-2</v>
      </c>
      <c r="P20" s="1">
        <f ca="1">IFERROR((visits_daily[[#This Row],[Визиты]]-OFFSET(visits_daily[[#This Row],[Визиты]],-1,0))/OFFSET(visits_daily[[#This Row],[Визиты]],-1,0),"")</f>
        <v>0.16666666666666666</v>
      </c>
      <c r="Q20" s="1">
        <f>visits_daily[[#This Row],[Визиты]]-AVERAGE(visits_daily[Визиты])</f>
        <v>9.3230769230769219</v>
      </c>
    </row>
    <row r="21" spans="1:17">
      <c r="A21" s="52">
        <v>46101</v>
      </c>
      <c r="B21" s="1">
        <v>14</v>
      </c>
      <c r="C21" s="56" t="str">
        <f>IF(visits_daily[[#This Row],[Визиты]]&gt;=15,"Пик",IF(visits_daily[[#This Row],[Визиты]]&gt;=10,"Высокий",IF(visits_daily[[#This Row],[Визиты]]&gt;=5,"Средний","Низкий")))</f>
        <v>Высокий</v>
      </c>
      <c r="D21" t="str">
        <f>IF(AND(visits_daily[[#This Row],[Визиты]]&gt;=10,WEEKDAY(visits_daily[[#This Row],[Период]],2)&lt;=5),"Рабочий пик","Обычный день")</f>
        <v>Рабочий пик</v>
      </c>
      <c r="E21" t="str">
        <f>IF(OR(visits_daily[[#This Row],[Визиты]]=0,visits_daily[[#This Row],[Визиты]]=1),"Мёртвый день","Нормальный")</f>
        <v>Нормальный</v>
      </c>
      <c r="F21" s="1" t="str">
        <f>TEXT(visits_daily[[#This Row],[Период]],"дддд")</f>
        <v>пятница</v>
      </c>
      <c r="G21" s="66" t="str">
        <f>TEXT(visits_daily[[#This Row],[Период]],"ММММ ГГГГ")</f>
        <v>Март 2026</v>
      </c>
      <c r="H21" s="66">
        <f>WEEKNUM(visits_daily[[#This Row],[Период]],2)</f>
        <v>12</v>
      </c>
      <c r="I21" s="66">
        <f>WEEKDAY(visits_daily[[#This Row],[Период]],2)</f>
        <v>5</v>
      </c>
      <c r="J21" s="66">
        <f>MONTH(visits_daily[[#This Row],[Период]])</f>
        <v>3</v>
      </c>
      <c r="K21" s="66">
        <f>DAY(visits_daily[[#This Row],[Период]])</f>
        <v>20</v>
      </c>
      <c r="L21" s="66">
        <f>visits_daily[[#This Row],[Период]]-MIN(visits_daily[Период])</f>
        <v>19</v>
      </c>
      <c r="M21" s="72">
        <f>DATE(2026,3,21)-visits_daily[[#This Row],[Период]]</f>
        <v>1</v>
      </c>
      <c r="N21" s="66">
        <f>SUM(visits_daily[[#Headers],[Визиты]]:visits_daily[[#This Row],[Визиты]])</f>
        <v>161</v>
      </c>
      <c r="O21" s="66">
        <f>visits_daily[[#This Row],[Визиты]]/SUM(visits_daily[Визиты])</f>
        <v>4.6052631578947366E-2</v>
      </c>
      <c r="P21" s="1">
        <f ca="1">IFERROR((visits_daily[[#This Row],[Визиты]]-OFFSET(visits_daily[[#This Row],[Визиты]],-1,0))/OFFSET(visits_daily[[#This Row],[Визиты]],-1,0),"")</f>
        <v>0</v>
      </c>
      <c r="Q21" s="1">
        <f>visits_daily[[#This Row],[Визиты]]-AVERAGE(visits_daily[Визиты])</f>
        <v>9.3230769230769219</v>
      </c>
    </row>
    <row r="22" spans="1:17">
      <c r="A22" s="52">
        <v>46102</v>
      </c>
      <c r="B22" s="1">
        <v>9</v>
      </c>
      <c r="C22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22" t="str">
        <f>IF(AND(visits_daily[[#This Row],[Визиты]]&gt;=10,WEEKDAY(visits_daily[[#This Row],[Период]],2)&lt;=5),"Рабочий пик","Обычный день")</f>
        <v>Обычный день</v>
      </c>
      <c r="E22" t="str">
        <f>IF(OR(visits_daily[[#This Row],[Визиты]]=0,visits_daily[[#This Row],[Визиты]]=1),"Мёртвый день","Нормальный")</f>
        <v>Нормальный</v>
      </c>
      <c r="F22" t="str">
        <f>TEXT(visits_daily[[#This Row],[Период]],"дддд")</f>
        <v>суббота</v>
      </c>
      <c r="G22" s="66" t="str">
        <f>TEXT(visits_daily[[#This Row],[Период]],"ММММ ГГГГ")</f>
        <v>Март 2026</v>
      </c>
      <c r="H22" s="66">
        <f>WEEKNUM(visits_daily[[#This Row],[Период]],2)</f>
        <v>12</v>
      </c>
      <c r="I22" s="66">
        <f>WEEKDAY(visits_daily[[#This Row],[Период]],2)</f>
        <v>6</v>
      </c>
      <c r="J22" s="66">
        <f>MONTH(visits_daily[[#This Row],[Период]])</f>
        <v>3</v>
      </c>
      <c r="K22" s="66">
        <f>DAY(visits_daily[[#This Row],[Период]])</f>
        <v>21</v>
      </c>
      <c r="L22" s="66">
        <f>visits_daily[[#This Row],[Период]]-MIN(visits_daily[Период])</f>
        <v>20</v>
      </c>
      <c r="M22" s="72">
        <f>DATE(2026,3,21)-visits_daily[[#This Row],[Период]]</f>
        <v>0</v>
      </c>
      <c r="N22" s="66">
        <f>SUM(visits_daily[[#Headers],[Визиты]]:visits_daily[[#This Row],[Визиты]])</f>
        <v>170</v>
      </c>
      <c r="O22" s="66">
        <f>visits_daily[[#This Row],[Визиты]]/SUM(visits_daily[Визиты])</f>
        <v>2.9605263157894735E-2</v>
      </c>
      <c r="P22" s="1">
        <f ca="1">IFERROR((visits_daily[[#This Row],[Визиты]]-OFFSET(visits_daily[[#This Row],[Визиты]],-1,0))/OFFSET(visits_daily[[#This Row],[Визиты]],-1,0),"")</f>
        <v>-0.35714285714285715</v>
      </c>
      <c r="Q22" s="1">
        <f>visits_daily[[#This Row],[Визиты]]-AVERAGE(visits_daily[Визиты])</f>
        <v>4.3230769230769228</v>
      </c>
    </row>
    <row r="23" spans="1:17">
      <c r="A23" s="52">
        <v>46103</v>
      </c>
      <c r="B23" s="1">
        <v>5</v>
      </c>
      <c r="C23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23" t="str">
        <f>IF(AND(visits_daily[[#This Row],[Визиты]]&gt;=10,WEEKDAY(visits_daily[[#This Row],[Период]],2)&lt;=5),"Рабочий пик","Обычный день")</f>
        <v>Обычный день</v>
      </c>
      <c r="E23" t="str">
        <f>IF(OR(visits_daily[[#This Row],[Визиты]]=0,visits_daily[[#This Row],[Визиты]]=1),"Мёртвый день","Нормальный")</f>
        <v>Нормальный</v>
      </c>
      <c r="F23" s="1" t="str">
        <f>TEXT(visits_daily[[#This Row],[Период]],"дддд")</f>
        <v>воскресенье</v>
      </c>
      <c r="G23" s="66" t="str">
        <f>TEXT(visits_daily[[#This Row],[Период]],"ММММ ГГГГ")</f>
        <v>Март 2026</v>
      </c>
      <c r="H23" s="66">
        <f>WEEKNUM(visits_daily[[#This Row],[Период]],2)</f>
        <v>12</v>
      </c>
      <c r="I23" s="66">
        <f>WEEKDAY(visits_daily[[#This Row],[Период]],2)</f>
        <v>7</v>
      </c>
      <c r="J23" s="66">
        <f>MONTH(visits_daily[[#This Row],[Период]])</f>
        <v>3</v>
      </c>
      <c r="K23" s="66">
        <f>DAY(visits_daily[[#This Row],[Период]])</f>
        <v>22</v>
      </c>
      <c r="L23" s="66">
        <f>visits_daily[[#This Row],[Период]]-MIN(visits_daily[Период])</f>
        <v>21</v>
      </c>
      <c r="M23" s="72">
        <f>DATE(2026,3,21)-visits_daily[[#This Row],[Период]]</f>
        <v>-1</v>
      </c>
      <c r="N23" s="66">
        <f>SUM(visits_daily[[#Headers],[Визиты]]:visits_daily[[#This Row],[Визиты]])</f>
        <v>175</v>
      </c>
      <c r="O23" s="66">
        <f>visits_daily[[#This Row],[Визиты]]/SUM(visits_daily[Визиты])</f>
        <v>1.6447368421052631E-2</v>
      </c>
      <c r="P23" s="1">
        <f ca="1">IFERROR((visits_daily[[#This Row],[Визиты]]-OFFSET(visits_daily[[#This Row],[Визиты]],-1,0))/OFFSET(visits_daily[[#This Row],[Визиты]],-1,0),"")</f>
        <v>-0.44444444444444442</v>
      </c>
      <c r="Q23" s="1">
        <f>visits_daily[[#This Row],[Визиты]]-AVERAGE(visits_daily[Визиты])</f>
        <v>0.32307692307692282</v>
      </c>
    </row>
    <row r="24" spans="1:17">
      <c r="A24" s="52">
        <v>46104</v>
      </c>
      <c r="B24" s="1">
        <v>1</v>
      </c>
      <c r="C24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24" t="str">
        <f>IF(AND(visits_daily[[#This Row],[Визиты]]&gt;=10,WEEKDAY(visits_daily[[#This Row],[Период]],2)&lt;=5),"Рабочий пик","Обычный день")</f>
        <v>Обычный день</v>
      </c>
      <c r="E24" t="str">
        <f>IF(OR(visits_daily[[#This Row],[Визиты]]=0,visits_daily[[#This Row],[Визиты]]=1),"Мёртвый день","Нормальный")</f>
        <v>Мёртвый день</v>
      </c>
      <c r="F24" t="str">
        <f>TEXT(visits_daily[[#This Row],[Период]],"дддд")</f>
        <v>понедельник</v>
      </c>
      <c r="G24" s="66" t="str">
        <f>TEXT(visits_daily[[#This Row],[Период]],"ММММ ГГГГ")</f>
        <v>Март 2026</v>
      </c>
      <c r="H24" s="66">
        <f>WEEKNUM(visits_daily[[#This Row],[Период]],2)</f>
        <v>13</v>
      </c>
      <c r="I24" s="66">
        <f>WEEKDAY(visits_daily[[#This Row],[Период]],2)</f>
        <v>1</v>
      </c>
      <c r="J24" s="66">
        <f>MONTH(visits_daily[[#This Row],[Период]])</f>
        <v>3</v>
      </c>
      <c r="K24" s="66">
        <f>DAY(visits_daily[[#This Row],[Период]])</f>
        <v>23</v>
      </c>
      <c r="L24" s="66">
        <f>visits_daily[[#This Row],[Период]]-MIN(visits_daily[Период])</f>
        <v>22</v>
      </c>
      <c r="M24" s="72">
        <f>DATE(2026,3,21)-visits_daily[[#This Row],[Период]]</f>
        <v>-2</v>
      </c>
      <c r="N24" s="66">
        <f>SUM(visits_daily[[#Headers],[Визиты]]:visits_daily[[#This Row],[Визиты]])</f>
        <v>176</v>
      </c>
      <c r="O24" s="66">
        <f>visits_daily[[#This Row],[Визиты]]/SUM(visits_daily[Визиты])</f>
        <v>3.2894736842105261E-3</v>
      </c>
      <c r="P24" s="1">
        <f ca="1">IFERROR((visits_daily[[#This Row],[Визиты]]-OFFSET(visits_daily[[#This Row],[Визиты]],-1,0))/OFFSET(visits_daily[[#This Row],[Визиты]],-1,0),"")</f>
        <v>-0.8</v>
      </c>
      <c r="Q24" s="1">
        <f>visits_daily[[#This Row],[Визиты]]-AVERAGE(visits_daily[Визиты])</f>
        <v>-3.6769230769230772</v>
      </c>
    </row>
    <row r="25" spans="1:17">
      <c r="A25" s="52">
        <v>46105</v>
      </c>
      <c r="B25" s="1">
        <v>6</v>
      </c>
      <c r="C25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25" t="str">
        <f>IF(AND(visits_daily[[#This Row],[Визиты]]&gt;=10,WEEKDAY(visits_daily[[#This Row],[Период]],2)&lt;=5),"Рабочий пик","Обычный день")</f>
        <v>Обычный день</v>
      </c>
      <c r="E25" t="str">
        <f>IF(OR(visits_daily[[#This Row],[Визиты]]=0,visits_daily[[#This Row],[Визиты]]=1),"Мёртвый день","Нормальный")</f>
        <v>Нормальный</v>
      </c>
      <c r="F25" s="1" t="str">
        <f>TEXT(visits_daily[[#This Row],[Период]],"дддд")</f>
        <v>вторник</v>
      </c>
      <c r="G25" s="66" t="str">
        <f>TEXT(visits_daily[[#This Row],[Период]],"ММММ ГГГГ")</f>
        <v>Март 2026</v>
      </c>
      <c r="H25" s="66">
        <f>WEEKNUM(visits_daily[[#This Row],[Период]],2)</f>
        <v>13</v>
      </c>
      <c r="I25" s="66">
        <f>WEEKDAY(visits_daily[[#This Row],[Период]],2)</f>
        <v>2</v>
      </c>
      <c r="J25" s="66">
        <f>MONTH(visits_daily[[#This Row],[Период]])</f>
        <v>3</v>
      </c>
      <c r="K25" s="66">
        <f>DAY(visits_daily[[#This Row],[Период]])</f>
        <v>24</v>
      </c>
      <c r="L25" s="66">
        <f>visits_daily[[#This Row],[Период]]-MIN(visits_daily[Период])</f>
        <v>23</v>
      </c>
      <c r="M25" s="72">
        <f>DATE(2026,3,21)-visits_daily[[#This Row],[Период]]</f>
        <v>-3</v>
      </c>
      <c r="N25" s="66">
        <f>SUM(visits_daily[[#Headers],[Визиты]]:visits_daily[[#This Row],[Визиты]])</f>
        <v>182</v>
      </c>
      <c r="O25" s="66">
        <f>visits_daily[[#This Row],[Визиты]]/SUM(visits_daily[Визиты])</f>
        <v>1.9736842105263157E-2</v>
      </c>
      <c r="P25" s="1">
        <f ca="1">IFERROR((visits_daily[[#This Row],[Визиты]]-OFFSET(visits_daily[[#This Row],[Визиты]],-1,0))/OFFSET(visits_daily[[#This Row],[Визиты]],-1,0),"")</f>
        <v>5</v>
      </c>
      <c r="Q25" s="1">
        <f>visits_daily[[#This Row],[Визиты]]-AVERAGE(visits_daily[Визиты])</f>
        <v>1.3230769230769228</v>
      </c>
    </row>
    <row r="26" spans="1:17">
      <c r="A26" s="52">
        <v>46106</v>
      </c>
      <c r="B26" s="1">
        <v>14</v>
      </c>
      <c r="C26" s="56" t="str">
        <f>IF(visits_daily[[#This Row],[Визиты]]&gt;=15,"Пик",IF(visits_daily[[#This Row],[Визиты]]&gt;=10,"Высокий",IF(visits_daily[[#This Row],[Визиты]]&gt;=5,"Средний","Низкий")))</f>
        <v>Высокий</v>
      </c>
      <c r="D26" t="str">
        <f>IF(AND(visits_daily[[#This Row],[Визиты]]&gt;=10,WEEKDAY(visits_daily[[#This Row],[Период]],2)&lt;=5),"Рабочий пик","Обычный день")</f>
        <v>Рабочий пик</v>
      </c>
      <c r="E26" t="str">
        <f>IF(OR(visits_daily[[#This Row],[Визиты]]=0,visits_daily[[#This Row],[Визиты]]=1),"Мёртвый день","Нормальный")</f>
        <v>Нормальный</v>
      </c>
      <c r="F26" t="str">
        <f>TEXT(visits_daily[[#This Row],[Период]],"дддд")</f>
        <v>среда</v>
      </c>
      <c r="G26" s="66" t="str">
        <f>TEXT(visits_daily[[#This Row],[Период]],"ММММ ГГГГ")</f>
        <v>Март 2026</v>
      </c>
      <c r="H26" s="66">
        <f>WEEKNUM(visits_daily[[#This Row],[Период]],2)</f>
        <v>13</v>
      </c>
      <c r="I26" s="66">
        <f>WEEKDAY(visits_daily[[#This Row],[Период]],2)</f>
        <v>3</v>
      </c>
      <c r="J26" s="66">
        <f>MONTH(visits_daily[[#This Row],[Период]])</f>
        <v>3</v>
      </c>
      <c r="K26" s="66">
        <f>DAY(visits_daily[[#This Row],[Период]])</f>
        <v>25</v>
      </c>
      <c r="L26" s="66">
        <f>visits_daily[[#This Row],[Период]]-MIN(visits_daily[Период])</f>
        <v>24</v>
      </c>
      <c r="M26" s="72">
        <f>DATE(2026,3,21)-visits_daily[[#This Row],[Период]]</f>
        <v>-4</v>
      </c>
      <c r="N26" s="66">
        <f>SUM(visits_daily[[#Headers],[Визиты]]:visits_daily[[#This Row],[Визиты]])</f>
        <v>196</v>
      </c>
      <c r="O26" s="66">
        <f>visits_daily[[#This Row],[Визиты]]/SUM(visits_daily[Визиты])</f>
        <v>4.6052631578947366E-2</v>
      </c>
      <c r="P26" s="1">
        <f ca="1">IFERROR((visits_daily[[#This Row],[Визиты]]-OFFSET(visits_daily[[#This Row],[Визиты]],-1,0))/OFFSET(visits_daily[[#This Row],[Визиты]],-1,0),"")</f>
        <v>1.3333333333333333</v>
      </c>
      <c r="Q26" s="1">
        <f>visits_daily[[#This Row],[Визиты]]-AVERAGE(visits_daily[Визиты])</f>
        <v>9.3230769230769219</v>
      </c>
    </row>
    <row r="27" spans="1:17">
      <c r="A27" s="52">
        <v>46107</v>
      </c>
      <c r="B27" s="1">
        <v>10</v>
      </c>
      <c r="C27" s="56" t="str">
        <f>IF(visits_daily[[#This Row],[Визиты]]&gt;=15,"Пик",IF(visits_daily[[#This Row],[Визиты]]&gt;=10,"Высокий",IF(visits_daily[[#This Row],[Визиты]]&gt;=5,"Средний","Низкий")))</f>
        <v>Высокий</v>
      </c>
      <c r="D27" t="str">
        <f>IF(AND(visits_daily[[#This Row],[Визиты]]&gt;=10,WEEKDAY(visits_daily[[#This Row],[Период]],2)&lt;=5),"Рабочий пик","Обычный день")</f>
        <v>Рабочий пик</v>
      </c>
      <c r="E27" t="str">
        <f>IF(OR(visits_daily[[#This Row],[Визиты]]=0,visits_daily[[#This Row],[Визиты]]=1),"Мёртвый день","Нормальный")</f>
        <v>Нормальный</v>
      </c>
      <c r="F27" t="str">
        <f>TEXT(visits_daily[[#This Row],[Период]],"дддд")</f>
        <v>четверг</v>
      </c>
      <c r="G27" s="66" t="str">
        <f>TEXT(visits_daily[[#This Row],[Период]],"ММММ ГГГГ")</f>
        <v>Март 2026</v>
      </c>
      <c r="H27" s="66">
        <f>WEEKNUM(visits_daily[[#This Row],[Период]],2)</f>
        <v>13</v>
      </c>
      <c r="I27" s="66">
        <f>WEEKDAY(visits_daily[[#This Row],[Период]],2)</f>
        <v>4</v>
      </c>
      <c r="J27" s="66">
        <f>MONTH(visits_daily[[#This Row],[Период]])</f>
        <v>3</v>
      </c>
      <c r="K27" s="66">
        <f>DAY(visits_daily[[#This Row],[Период]])</f>
        <v>26</v>
      </c>
      <c r="L27" s="66">
        <f>visits_daily[[#This Row],[Период]]-MIN(visits_daily[Период])</f>
        <v>25</v>
      </c>
      <c r="M27" s="72">
        <f>DATE(2026,3,21)-visits_daily[[#This Row],[Период]]</f>
        <v>-5</v>
      </c>
      <c r="N27" s="66">
        <f>SUM(visits_daily[[#Headers],[Визиты]]:visits_daily[[#This Row],[Визиты]])</f>
        <v>206</v>
      </c>
      <c r="O27" s="66">
        <f>visits_daily[[#This Row],[Визиты]]/SUM(visits_daily[Визиты])</f>
        <v>3.2894736842105261E-2</v>
      </c>
      <c r="P27" s="1">
        <f ca="1">IFERROR((visits_daily[[#This Row],[Визиты]]-OFFSET(visits_daily[[#This Row],[Визиты]],-1,0))/OFFSET(visits_daily[[#This Row],[Визиты]],-1,0),"")</f>
        <v>-0.2857142857142857</v>
      </c>
      <c r="Q27" s="1">
        <f>visits_daily[[#This Row],[Визиты]]-AVERAGE(visits_daily[Визиты])</f>
        <v>5.3230769230769228</v>
      </c>
    </row>
    <row r="28" spans="1:17">
      <c r="A28" s="52">
        <v>46108</v>
      </c>
      <c r="B28" s="1">
        <v>17</v>
      </c>
      <c r="C28" s="56" t="str">
        <f>IF(visits_daily[[#This Row],[Визиты]]&gt;=15,"Пик",IF(visits_daily[[#This Row],[Визиты]]&gt;=10,"Высокий",IF(visits_daily[[#This Row],[Визиты]]&gt;=5,"Средний","Низкий")))</f>
        <v>Пик</v>
      </c>
      <c r="D28" t="str">
        <f>IF(AND(visits_daily[[#This Row],[Визиты]]&gt;=10,WEEKDAY(visits_daily[[#This Row],[Период]],2)&lt;=5),"Рабочий пик","Обычный день")</f>
        <v>Рабочий пик</v>
      </c>
      <c r="E28" t="str">
        <f>IF(OR(visits_daily[[#This Row],[Визиты]]=0,visits_daily[[#This Row],[Визиты]]=1),"Мёртвый день","Нормальный")</f>
        <v>Нормальный</v>
      </c>
      <c r="F28" t="str">
        <f>TEXT(visits_daily[[#This Row],[Период]],"дддд")</f>
        <v>пятница</v>
      </c>
      <c r="G28" s="66" t="str">
        <f>TEXT(visits_daily[[#This Row],[Период]],"ММММ ГГГГ")</f>
        <v>Март 2026</v>
      </c>
      <c r="H28" s="66">
        <f>WEEKNUM(visits_daily[[#This Row],[Период]],2)</f>
        <v>13</v>
      </c>
      <c r="I28" s="66">
        <f>WEEKDAY(visits_daily[[#This Row],[Период]],2)</f>
        <v>5</v>
      </c>
      <c r="J28" s="66">
        <f>MONTH(visits_daily[[#This Row],[Период]])</f>
        <v>3</v>
      </c>
      <c r="K28" s="66">
        <f>DAY(visits_daily[[#This Row],[Период]])</f>
        <v>27</v>
      </c>
      <c r="L28" s="66">
        <f>visits_daily[[#This Row],[Период]]-MIN(visits_daily[Период])</f>
        <v>26</v>
      </c>
      <c r="M28" s="72">
        <f>DATE(2026,3,21)-visits_daily[[#This Row],[Период]]</f>
        <v>-6</v>
      </c>
      <c r="N28" s="66">
        <f>SUM(visits_daily[[#Headers],[Визиты]]:visits_daily[[#This Row],[Визиты]])</f>
        <v>223</v>
      </c>
      <c r="O28" s="66">
        <f>visits_daily[[#This Row],[Визиты]]/SUM(visits_daily[Визиты])</f>
        <v>5.5921052631578948E-2</v>
      </c>
      <c r="P28" s="1">
        <f ca="1">IFERROR((visits_daily[[#This Row],[Визиты]]-OFFSET(visits_daily[[#This Row],[Визиты]],-1,0))/OFFSET(visits_daily[[#This Row],[Визиты]],-1,0),"")</f>
        <v>0.7</v>
      </c>
      <c r="Q28" s="1">
        <f>visits_daily[[#This Row],[Визиты]]-AVERAGE(visits_daily[Визиты])</f>
        <v>12.323076923076922</v>
      </c>
    </row>
    <row r="29" spans="1:17">
      <c r="A29" s="52">
        <v>46109</v>
      </c>
      <c r="B29" s="1">
        <v>6</v>
      </c>
      <c r="C29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29" t="str">
        <f>IF(AND(visits_daily[[#This Row],[Визиты]]&gt;=10,WEEKDAY(visits_daily[[#This Row],[Период]],2)&lt;=5),"Рабочий пик","Обычный день")</f>
        <v>Обычный день</v>
      </c>
      <c r="E29" t="str">
        <f>IF(OR(visits_daily[[#This Row],[Визиты]]=0,visits_daily[[#This Row],[Визиты]]=1),"Мёртвый день","Нормальный")</f>
        <v>Нормальный</v>
      </c>
      <c r="F29" t="str">
        <f>TEXT(visits_daily[[#This Row],[Период]],"дддд")</f>
        <v>суббота</v>
      </c>
      <c r="G29" s="66" t="str">
        <f>TEXT(visits_daily[[#This Row],[Период]],"ММММ ГГГГ")</f>
        <v>Март 2026</v>
      </c>
      <c r="H29" s="66">
        <f>WEEKNUM(visits_daily[[#This Row],[Период]],2)</f>
        <v>13</v>
      </c>
      <c r="I29" s="66">
        <f>WEEKDAY(visits_daily[[#This Row],[Период]],2)</f>
        <v>6</v>
      </c>
      <c r="J29" s="66">
        <f>MONTH(visits_daily[[#This Row],[Период]])</f>
        <v>3</v>
      </c>
      <c r="K29" s="66">
        <f>DAY(visits_daily[[#This Row],[Период]])</f>
        <v>28</v>
      </c>
      <c r="L29" s="66">
        <f>visits_daily[[#This Row],[Период]]-MIN(visits_daily[Период])</f>
        <v>27</v>
      </c>
      <c r="M29" s="72">
        <f>DATE(2026,3,21)-visits_daily[[#This Row],[Период]]</f>
        <v>-7</v>
      </c>
      <c r="N29" s="66">
        <f>SUM(visits_daily[[#Headers],[Визиты]]:visits_daily[[#This Row],[Визиты]])</f>
        <v>229</v>
      </c>
      <c r="O29" s="66">
        <f>visits_daily[[#This Row],[Визиты]]/SUM(visits_daily[Визиты])</f>
        <v>1.9736842105263157E-2</v>
      </c>
      <c r="P29" s="1">
        <f ca="1">IFERROR((visits_daily[[#This Row],[Визиты]]-OFFSET(visits_daily[[#This Row],[Визиты]],-1,0))/OFFSET(visits_daily[[#This Row],[Визиты]],-1,0),"")</f>
        <v>-0.6470588235294118</v>
      </c>
      <c r="Q29" s="1">
        <f>visits_daily[[#This Row],[Визиты]]-AVERAGE(visits_daily[Визиты])</f>
        <v>1.3230769230769228</v>
      </c>
    </row>
    <row r="30" spans="1:17">
      <c r="A30" s="52">
        <v>46110</v>
      </c>
      <c r="B30" s="1">
        <v>1</v>
      </c>
      <c r="C30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0" t="str">
        <f>IF(AND(visits_daily[[#This Row],[Визиты]]&gt;=10,WEEKDAY(visits_daily[[#This Row],[Период]],2)&lt;=5),"Рабочий пик","Обычный день")</f>
        <v>Обычный день</v>
      </c>
      <c r="E30" t="str">
        <f>IF(OR(visits_daily[[#This Row],[Визиты]]=0,visits_daily[[#This Row],[Визиты]]=1),"Мёртвый день","Нормальный")</f>
        <v>Мёртвый день</v>
      </c>
      <c r="F30" t="str">
        <f>TEXT(visits_daily[[#This Row],[Период]],"дддд")</f>
        <v>воскресенье</v>
      </c>
      <c r="G30" s="66" t="str">
        <f>TEXT(visits_daily[[#This Row],[Период]],"ММММ ГГГГ")</f>
        <v>Март 2026</v>
      </c>
      <c r="H30" s="66">
        <f>WEEKNUM(visits_daily[[#This Row],[Период]],2)</f>
        <v>13</v>
      </c>
      <c r="I30" s="66">
        <f>WEEKDAY(visits_daily[[#This Row],[Период]],2)</f>
        <v>7</v>
      </c>
      <c r="J30" s="66">
        <f>MONTH(visits_daily[[#This Row],[Период]])</f>
        <v>3</v>
      </c>
      <c r="K30" s="66">
        <f>DAY(visits_daily[[#This Row],[Период]])</f>
        <v>29</v>
      </c>
      <c r="L30" s="66">
        <f>visits_daily[[#This Row],[Период]]-MIN(visits_daily[Период])</f>
        <v>28</v>
      </c>
      <c r="M30" s="72">
        <f>DATE(2026,3,21)-visits_daily[[#This Row],[Период]]</f>
        <v>-8</v>
      </c>
      <c r="N30" s="66">
        <f>SUM(visits_daily[[#Headers],[Визиты]]:visits_daily[[#This Row],[Визиты]])</f>
        <v>230</v>
      </c>
      <c r="O30" s="66">
        <f>visits_daily[[#This Row],[Визиты]]/SUM(visits_daily[Визиты])</f>
        <v>3.2894736842105261E-3</v>
      </c>
      <c r="P30" s="1">
        <f ca="1">IFERROR((visits_daily[[#This Row],[Визиты]]-OFFSET(visits_daily[[#This Row],[Визиты]],-1,0))/OFFSET(visits_daily[[#This Row],[Визиты]],-1,0),"")</f>
        <v>-0.83333333333333337</v>
      </c>
      <c r="Q30" s="1">
        <f>visits_daily[[#This Row],[Визиты]]-AVERAGE(visits_daily[Визиты])</f>
        <v>-3.6769230769230772</v>
      </c>
    </row>
    <row r="31" spans="1:17">
      <c r="A31" s="52">
        <v>46111</v>
      </c>
      <c r="B31" s="1">
        <v>1</v>
      </c>
      <c r="C31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1" t="str">
        <f>IF(AND(visits_daily[[#This Row],[Визиты]]&gt;=10,WEEKDAY(visits_daily[[#This Row],[Период]],2)&lt;=5),"Рабочий пик","Обычный день")</f>
        <v>Обычный день</v>
      </c>
      <c r="E31" t="str">
        <f>IF(OR(visits_daily[[#This Row],[Визиты]]=0,visits_daily[[#This Row],[Визиты]]=1),"Мёртвый день","Нормальный")</f>
        <v>Мёртвый день</v>
      </c>
      <c r="F31" t="str">
        <f>TEXT(visits_daily[[#This Row],[Период]],"дддд")</f>
        <v>понедельник</v>
      </c>
      <c r="G31" s="66" t="str">
        <f>TEXT(visits_daily[[#This Row],[Период]],"ММММ ГГГГ")</f>
        <v>Март 2026</v>
      </c>
      <c r="H31" s="66">
        <f>WEEKNUM(visits_daily[[#This Row],[Период]],2)</f>
        <v>14</v>
      </c>
      <c r="I31" s="66">
        <f>WEEKDAY(visits_daily[[#This Row],[Период]],2)</f>
        <v>1</v>
      </c>
      <c r="J31" s="66">
        <f>MONTH(visits_daily[[#This Row],[Период]])</f>
        <v>3</v>
      </c>
      <c r="K31" s="66">
        <f>DAY(visits_daily[[#This Row],[Период]])</f>
        <v>30</v>
      </c>
      <c r="L31" s="66">
        <f>visits_daily[[#This Row],[Период]]-MIN(visits_daily[Период])</f>
        <v>29</v>
      </c>
      <c r="M31" s="72">
        <f>DATE(2026,3,21)-visits_daily[[#This Row],[Период]]</f>
        <v>-9</v>
      </c>
      <c r="N31" s="66">
        <f>SUM(visits_daily[[#Headers],[Визиты]]:visits_daily[[#This Row],[Визиты]])</f>
        <v>231</v>
      </c>
      <c r="O31" s="66">
        <f>visits_daily[[#This Row],[Визиты]]/SUM(visits_daily[Визиты])</f>
        <v>3.2894736842105261E-3</v>
      </c>
      <c r="P31" s="1">
        <f ca="1">IFERROR((visits_daily[[#This Row],[Визиты]]-OFFSET(visits_daily[[#This Row],[Визиты]],-1,0))/OFFSET(visits_daily[[#This Row],[Визиты]],-1,0),"")</f>
        <v>0</v>
      </c>
      <c r="Q31" s="1">
        <f>visits_daily[[#This Row],[Визиты]]-AVERAGE(visits_daily[Визиты])</f>
        <v>-3.6769230769230772</v>
      </c>
    </row>
    <row r="32" spans="1:17">
      <c r="A32" s="52">
        <v>46112</v>
      </c>
      <c r="B32" s="1">
        <v>2</v>
      </c>
      <c r="C32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2" t="str">
        <f>IF(AND(visits_daily[[#This Row],[Визиты]]&gt;=10,WEEKDAY(visits_daily[[#This Row],[Период]],2)&lt;=5),"Рабочий пик","Обычный день")</f>
        <v>Обычный день</v>
      </c>
      <c r="E32" t="str">
        <f>IF(OR(visits_daily[[#This Row],[Визиты]]=0,visits_daily[[#This Row],[Визиты]]=1),"Мёртвый день","Нормальный")</f>
        <v>Нормальный</v>
      </c>
      <c r="F32" t="str">
        <f>TEXT(visits_daily[[#This Row],[Период]],"дддд")</f>
        <v>вторник</v>
      </c>
      <c r="G32" s="66" t="str">
        <f>TEXT(visits_daily[[#This Row],[Период]],"ММММ ГГГГ")</f>
        <v>Март 2026</v>
      </c>
      <c r="H32" s="66">
        <f>WEEKNUM(visits_daily[[#This Row],[Период]],2)</f>
        <v>14</v>
      </c>
      <c r="I32" s="66">
        <f>WEEKDAY(visits_daily[[#This Row],[Период]],2)</f>
        <v>2</v>
      </c>
      <c r="J32" s="66">
        <f>MONTH(visits_daily[[#This Row],[Период]])</f>
        <v>3</v>
      </c>
      <c r="K32" s="66">
        <f>DAY(visits_daily[[#This Row],[Период]])</f>
        <v>31</v>
      </c>
      <c r="L32" s="66">
        <f>visits_daily[[#This Row],[Период]]-MIN(visits_daily[Период])</f>
        <v>30</v>
      </c>
      <c r="M32" s="72">
        <f>DATE(2026,3,21)-visits_daily[[#This Row],[Период]]</f>
        <v>-10</v>
      </c>
      <c r="N32" s="66">
        <f>SUM(visits_daily[[#Headers],[Визиты]]:visits_daily[[#This Row],[Визиты]])</f>
        <v>233</v>
      </c>
      <c r="O32" s="66">
        <f>visits_daily[[#This Row],[Визиты]]/SUM(visits_daily[Визиты])</f>
        <v>6.5789473684210523E-3</v>
      </c>
      <c r="P32" s="1">
        <f ca="1">IFERROR((visits_daily[[#This Row],[Визиты]]-OFFSET(visits_daily[[#This Row],[Визиты]],-1,0))/OFFSET(visits_daily[[#This Row],[Визиты]],-1,0),"")</f>
        <v>1</v>
      </c>
      <c r="Q32" s="1">
        <f>visits_daily[[#This Row],[Визиты]]-AVERAGE(visits_daily[Визиты])</f>
        <v>-2.6769230769230772</v>
      </c>
    </row>
    <row r="33" spans="1:17">
      <c r="A33" s="52">
        <v>46113</v>
      </c>
      <c r="B33" s="1">
        <v>4</v>
      </c>
      <c r="C33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3" t="str">
        <f>IF(AND(visits_daily[[#This Row],[Визиты]]&gt;=10,WEEKDAY(visits_daily[[#This Row],[Период]],2)&lt;=5),"Рабочий пик","Обычный день")</f>
        <v>Обычный день</v>
      </c>
      <c r="E33" t="str">
        <f>IF(OR(visits_daily[[#This Row],[Визиты]]=0,visits_daily[[#This Row],[Визиты]]=1),"Мёртвый день","Нормальный")</f>
        <v>Нормальный</v>
      </c>
      <c r="F33" t="str">
        <f>TEXT(visits_daily[[#This Row],[Период]],"дддд")</f>
        <v>среда</v>
      </c>
      <c r="G33" s="66" t="str">
        <f>TEXT(visits_daily[[#This Row],[Период]],"ММММ ГГГГ")</f>
        <v>Апрель 2026</v>
      </c>
      <c r="H33" s="66">
        <f>WEEKNUM(visits_daily[[#This Row],[Период]],2)</f>
        <v>14</v>
      </c>
      <c r="I33" s="66">
        <f>WEEKDAY(visits_daily[[#This Row],[Период]],2)</f>
        <v>3</v>
      </c>
      <c r="J33" s="66">
        <f>MONTH(visits_daily[[#This Row],[Период]])</f>
        <v>4</v>
      </c>
      <c r="K33" s="66">
        <f>DAY(visits_daily[[#This Row],[Период]])</f>
        <v>1</v>
      </c>
      <c r="L33" s="66">
        <f>visits_daily[[#This Row],[Период]]-MIN(visits_daily[Период])</f>
        <v>31</v>
      </c>
      <c r="M33" s="72">
        <f>DATE(2026,3,21)-visits_daily[[#This Row],[Период]]</f>
        <v>-11</v>
      </c>
      <c r="N33" s="66">
        <f>SUM(visits_daily[[#Headers],[Визиты]]:visits_daily[[#This Row],[Визиты]])</f>
        <v>237</v>
      </c>
      <c r="O33" s="66">
        <f>visits_daily[[#This Row],[Визиты]]/SUM(visits_daily[Визиты])</f>
        <v>1.3157894736842105E-2</v>
      </c>
      <c r="P33" s="1">
        <f ca="1">IFERROR((visits_daily[[#This Row],[Визиты]]-OFFSET(visits_daily[[#This Row],[Визиты]],-1,0))/OFFSET(visits_daily[[#This Row],[Визиты]],-1,0),"")</f>
        <v>1</v>
      </c>
      <c r="Q33" s="1">
        <f>visits_daily[[#This Row],[Визиты]]-AVERAGE(visits_daily[Визиты])</f>
        <v>-0.67692307692307718</v>
      </c>
    </row>
    <row r="34" spans="1:17">
      <c r="A34" s="52">
        <v>46114</v>
      </c>
      <c r="B34" s="1">
        <v>2</v>
      </c>
      <c r="C34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4" t="str">
        <f>IF(AND(visits_daily[[#This Row],[Визиты]]&gt;=10,WEEKDAY(visits_daily[[#This Row],[Период]],2)&lt;=5),"Рабочий пик","Обычный день")</f>
        <v>Обычный день</v>
      </c>
      <c r="E34" t="str">
        <f>IF(OR(visits_daily[[#This Row],[Визиты]]=0,visits_daily[[#This Row],[Визиты]]=1),"Мёртвый день","Нормальный")</f>
        <v>Нормальный</v>
      </c>
      <c r="F34" t="str">
        <f>TEXT(visits_daily[[#This Row],[Период]],"дддд")</f>
        <v>четверг</v>
      </c>
      <c r="G34" s="66" t="str">
        <f>TEXT(visits_daily[[#This Row],[Период]],"ММММ ГГГГ")</f>
        <v>Апрель 2026</v>
      </c>
      <c r="H34" s="66">
        <f>WEEKNUM(visits_daily[[#This Row],[Период]],2)</f>
        <v>14</v>
      </c>
      <c r="I34" s="66">
        <f>WEEKDAY(visits_daily[[#This Row],[Период]],2)</f>
        <v>4</v>
      </c>
      <c r="J34" s="66">
        <f>MONTH(visits_daily[[#This Row],[Период]])</f>
        <v>4</v>
      </c>
      <c r="K34" s="66">
        <f>DAY(visits_daily[[#This Row],[Период]])</f>
        <v>2</v>
      </c>
      <c r="L34" s="66">
        <f>visits_daily[[#This Row],[Период]]-MIN(visits_daily[Период])</f>
        <v>32</v>
      </c>
      <c r="M34" s="72">
        <f>DATE(2026,3,21)-visits_daily[[#This Row],[Период]]</f>
        <v>-12</v>
      </c>
      <c r="N34" s="66">
        <f>SUM(visits_daily[[#Headers],[Визиты]]:visits_daily[[#This Row],[Визиты]])</f>
        <v>239</v>
      </c>
      <c r="O34" s="66">
        <f>visits_daily[[#This Row],[Визиты]]/SUM(visits_daily[Визиты])</f>
        <v>6.5789473684210523E-3</v>
      </c>
      <c r="P34" s="1">
        <f ca="1">IFERROR((visits_daily[[#This Row],[Визиты]]-OFFSET(visits_daily[[#This Row],[Визиты]],-1,0))/OFFSET(visits_daily[[#This Row],[Визиты]],-1,0),"")</f>
        <v>-0.5</v>
      </c>
      <c r="Q34" s="1">
        <f>visits_daily[[#This Row],[Визиты]]-AVERAGE(visits_daily[Визиты])</f>
        <v>-2.6769230769230772</v>
      </c>
    </row>
    <row r="35" spans="1:17">
      <c r="A35" s="52">
        <v>46115</v>
      </c>
      <c r="B35" s="1">
        <v>4</v>
      </c>
      <c r="C35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5" t="str">
        <f>IF(AND(visits_daily[[#This Row],[Визиты]]&gt;=10,WEEKDAY(visits_daily[[#This Row],[Период]],2)&lt;=5),"Рабочий пик","Обычный день")</f>
        <v>Обычный день</v>
      </c>
      <c r="E35" t="str">
        <f>IF(OR(visits_daily[[#This Row],[Визиты]]=0,visits_daily[[#This Row],[Визиты]]=1),"Мёртвый день","Нормальный")</f>
        <v>Нормальный</v>
      </c>
      <c r="F35" t="str">
        <f>TEXT(visits_daily[[#This Row],[Период]],"дддд")</f>
        <v>пятница</v>
      </c>
      <c r="G35" s="66" t="str">
        <f>TEXT(visits_daily[[#This Row],[Период]],"ММММ ГГГГ")</f>
        <v>Апрель 2026</v>
      </c>
      <c r="H35" s="66">
        <f>WEEKNUM(visits_daily[[#This Row],[Период]],2)</f>
        <v>14</v>
      </c>
      <c r="I35" s="66">
        <f>WEEKDAY(visits_daily[[#This Row],[Период]],2)</f>
        <v>5</v>
      </c>
      <c r="J35" s="66">
        <f>MONTH(visits_daily[[#This Row],[Период]])</f>
        <v>4</v>
      </c>
      <c r="K35" s="66">
        <f>DAY(visits_daily[[#This Row],[Период]])</f>
        <v>3</v>
      </c>
      <c r="L35" s="66">
        <f>visits_daily[[#This Row],[Период]]-MIN(visits_daily[Период])</f>
        <v>33</v>
      </c>
      <c r="M35" s="72">
        <f>DATE(2026,3,21)-visits_daily[[#This Row],[Период]]</f>
        <v>-13</v>
      </c>
      <c r="N35" s="66">
        <f>SUM(visits_daily[[#Headers],[Визиты]]:visits_daily[[#This Row],[Визиты]])</f>
        <v>243</v>
      </c>
      <c r="O35" s="66">
        <f>visits_daily[[#This Row],[Визиты]]/SUM(visits_daily[Визиты])</f>
        <v>1.3157894736842105E-2</v>
      </c>
      <c r="P35" s="1">
        <f ca="1">IFERROR((visits_daily[[#This Row],[Визиты]]-OFFSET(visits_daily[[#This Row],[Визиты]],-1,0))/OFFSET(visits_daily[[#This Row],[Визиты]],-1,0),"")</f>
        <v>1</v>
      </c>
      <c r="Q35" s="1">
        <f>visits_daily[[#This Row],[Визиты]]-AVERAGE(visits_daily[Визиты])</f>
        <v>-0.67692307692307718</v>
      </c>
    </row>
    <row r="36" spans="1:17">
      <c r="A36" s="52">
        <v>46116</v>
      </c>
      <c r="B36" s="1">
        <v>0</v>
      </c>
      <c r="C36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6" t="str">
        <f>IF(AND(visits_daily[[#This Row],[Визиты]]&gt;=10,WEEKDAY(visits_daily[[#This Row],[Период]],2)&lt;=5),"Рабочий пик","Обычный день")</f>
        <v>Обычный день</v>
      </c>
      <c r="E36" t="str">
        <f>IF(OR(visits_daily[[#This Row],[Визиты]]=0,visits_daily[[#This Row],[Визиты]]=1),"Мёртвый день","Нормальный")</f>
        <v>Мёртвый день</v>
      </c>
      <c r="F36" t="str">
        <f>TEXT(visits_daily[[#This Row],[Период]],"дддд")</f>
        <v>суббота</v>
      </c>
      <c r="G36" s="66" t="str">
        <f>TEXT(visits_daily[[#This Row],[Период]],"ММММ ГГГГ")</f>
        <v>Апрель 2026</v>
      </c>
      <c r="H36" s="66">
        <f>WEEKNUM(visits_daily[[#This Row],[Период]],2)</f>
        <v>14</v>
      </c>
      <c r="I36" s="66">
        <f>WEEKDAY(visits_daily[[#This Row],[Период]],2)</f>
        <v>6</v>
      </c>
      <c r="J36" s="66">
        <f>MONTH(visits_daily[[#This Row],[Период]])</f>
        <v>4</v>
      </c>
      <c r="K36" s="66">
        <f>DAY(visits_daily[[#This Row],[Период]])</f>
        <v>4</v>
      </c>
      <c r="L36" s="66">
        <f>visits_daily[[#This Row],[Период]]-MIN(visits_daily[Период])</f>
        <v>34</v>
      </c>
      <c r="M36" s="72">
        <f>DATE(2026,3,21)-visits_daily[[#This Row],[Период]]</f>
        <v>-14</v>
      </c>
      <c r="N36" s="66">
        <f>SUM(visits_daily[[#Headers],[Визиты]]:visits_daily[[#This Row],[Визиты]])</f>
        <v>243</v>
      </c>
      <c r="O36" s="66">
        <f>visits_daily[[#This Row],[Визиты]]/SUM(visits_daily[Визиты])</f>
        <v>0</v>
      </c>
      <c r="P36" s="1">
        <f ca="1">IFERROR((visits_daily[[#This Row],[Визиты]]-OFFSET(visits_daily[[#This Row],[Визиты]],-1,0))/OFFSET(visits_daily[[#This Row],[Визиты]],-1,0),"")</f>
        <v>-1</v>
      </c>
      <c r="Q36" s="1">
        <f>visits_daily[[#This Row],[Визиты]]-AVERAGE(visits_daily[Визиты])</f>
        <v>-4.6769230769230772</v>
      </c>
    </row>
    <row r="37" spans="1:17">
      <c r="A37" s="52">
        <v>46117</v>
      </c>
      <c r="B37" s="1">
        <v>4</v>
      </c>
      <c r="C37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7" t="str">
        <f>IF(AND(visits_daily[[#This Row],[Визиты]]&gt;=10,WEEKDAY(visits_daily[[#This Row],[Период]],2)&lt;=5),"Рабочий пик","Обычный день")</f>
        <v>Обычный день</v>
      </c>
      <c r="E37" t="str">
        <f>IF(OR(visits_daily[[#This Row],[Визиты]]=0,visits_daily[[#This Row],[Визиты]]=1),"Мёртвый день","Нормальный")</f>
        <v>Нормальный</v>
      </c>
      <c r="F37" t="str">
        <f>TEXT(visits_daily[[#This Row],[Период]],"дддд")</f>
        <v>воскресенье</v>
      </c>
      <c r="G37" s="66" t="str">
        <f>TEXT(visits_daily[[#This Row],[Период]],"ММММ ГГГГ")</f>
        <v>Апрель 2026</v>
      </c>
      <c r="H37" s="66">
        <f>WEEKNUM(visits_daily[[#This Row],[Период]],2)</f>
        <v>14</v>
      </c>
      <c r="I37" s="66">
        <f>WEEKDAY(visits_daily[[#This Row],[Период]],2)</f>
        <v>7</v>
      </c>
      <c r="J37" s="66">
        <f>MONTH(visits_daily[[#This Row],[Период]])</f>
        <v>4</v>
      </c>
      <c r="K37" s="66">
        <f>DAY(visits_daily[[#This Row],[Период]])</f>
        <v>5</v>
      </c>
      <c r="L37" s="66">
        <f>visits_daily[[#This Row],[Период]]-MIN(visits_daily[Период])</f>
        <v>35</v>
      </c>
      <c r="M37" s="72">
        <f>DATE(2026,3,21)-visits_daily[[#This Row],[Период]]</f>
        <v>-15</v>
      </c>
      <c r="N37" s="66">
        <f>SUM(visits_daily[[#Headers],[Визиты]]:visits_daily[[#This Row],[Визиты]])</f>
        <v>247</v>
      </c>
      <c r="O37" s="66">
        <f>visits_daily[[#This Row],[Визиты]]/SUM(visits_daily[Визиты])</f>
        <v>1.3157894736842105E-2</v>
      </c>
      <c r="P37" s="1" t="str">
        <f ca="1">IFERROR((visits_daily[[#This Row],[Визиты]]-OFFSET(visits_daily[[#This Row],[Визиты]],-1,0))/OFFSET(visits_daily[[#This Row],[Визиты]],-1,0),"")</f>
        <v/>
      </c>
      <c r="Q37" s="1">
        <f>visits_daily[[#This Row],[Визиты]]-AVERAGE(visits_daily[Визиты])</f>
        <v>-0.67692307692307718</v>
      </c>
    </row>
    <row r="38" spans="1:17">
      <c r="A38" s="52">
        <v>46118</v>
      </c>
      <c r="B38" s="1">
        <v>3</v>
      </c>
      <c r="C38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8" t="str">
        <f>IF(AND(visits_daily[[#This Row],[Визиты]]&gt;=10,WEEKDAY(visits_daily[[#This Row],[Период]],2)&lt;=5),"Рабочий пик","Обычный день")</f>
        <v>Обычный день</v>
      </c>
      <c r="E38" t="str">
        <f>IF(OR(visits_daily[[#This Row],[Визиты]]=0,visits_daily[[#This Row],[Визиты]]=1),"Мёртвый день","Нормальный")</f>
        <v>Нормальный</v>
      </c>
      <c r="F38" t="str">
        <f>TEXT(visits_daily[[#This Row],[Период]],"дддд")</f>
        <v>понедельник</v>
      </c>
      <c r="G38" s="66" t="str">
        <f>TEXT(visits_daily[[#This Row],[Период]],"ММММ ГГГГ")</f>
        <v>Апрель 2026</v>
      </c>
      <c r="H38" s="66">
        <f>WEEKNUM(visits_daily[[#This Row],[Период]],2)</f>
        <v>15</v>
      </c>
      <c r="I38" s="66">
        <f>WEEKDAY(visits_daily[[#This Row],[Период]],2)</f>
        <v>1</v>
      </c>
      <c r="J38" s="66">
        <f>MONTH(visits_daily[[#This Row],[Период]])</f>
        <v>4</v>
      </c>
      <c r="K38" s="66">
        <f>DAY(visits_daily[[#This Row],[Период]])</f>
        <v>6</v>
      </c>
      <c r="L38" s="66">
        <f>visits_daily[[#This Row],[Период]]-MIN(visits_daily[Период])</f>
        <v>36</v>
      </c>
      <c r="M38" s="72">
        <f>DATE(2026,3,21)-visits_daily[[#This Row],[Период]]</f>
        <v>-16</v>
      </c>
      <c r="N38" s="66">
        <f>SUM(visits_daily[[#Headers],[Визиты]]:visits_daily[[#This Row],[Визиты]])</f>
        <v>250</v>
      </c>
      <c r="O38" s="66">
        <f>visits_daily[[#This Row],[Визиты]]/SUM(visits_daily[Визиты])</f>
        <v>9.8684210526315784E-3</v>
      </c>
      <c r="P38" s="1">
        <f ca="1">IFERROR((visits_daily[[#This Row],[Визиты]]-OFFSET(visits_daily[[#This Row],[Визиты]],-1,0))/OFFSET(visits_daily[[#This Row],[Визиты]],-1,0),"")</f>
        <v>-0.25</v>
      </c>
      <c r="Q38" s="1">
        <f>visits_daily[[#This Row],[Визиты]]-AVERAGE(visits_daily[Визиты])</f>
        <v>-1.6769230769230772</v>
      </c>
    </row>
    <row r="39" spans="1:17">
      <c r="A39" s="52">
        <v>46119</v>
      </c>
      <c r="B39" s="1">
        <v>0</v>
      </c>
      <c r="C39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39" t="str">
        <f>IF(AND(visits_daily[[#This Row],[Визиты]]&gt;=10,WEEKDAY(visits_daily[[#This Row],[Период]],2)&lt;=5),"Рабочий пик","Обычный день")</f>
        <v>Обычный день</v>
      </c>
      <c r="E39" t="str">
        <f>IF(OR(visits_daily[[#This Row],[Визиты]]=0,visits_daily[[#This Row],[Визиты]]=1),"Мёртвый день","Нормальный")</f>
        <v>Мёртвый день</v>
      </c>
      <c r="F39" t="str">
        <f>TEXT(visits_daily[[#This Row],[Период]],"дддд")</f>
        <v>вторник</v>
      </c>
      <c r="G39" s="66" t="str">
        <f>TEXT(visits_daily[[#This Row],[Период]],"ММММ ГГГГ")</f>
        <v>Апрель 2026</v>
      </c>
      <c r="H39" s="66">
        <f>WEEKNUM(visits_daily[[#This Row],[Период]],2)</f>
        <v>15</v>
      </c>
      <c r="I39" s="66">
        <f>WEEKDAY(visits_daily[[#This Row],[Период]],2)</f>
        <v>2</v>
      </c>
      <c r="J39" s="66">
        <f>MONTH(visits_daily[[#This Row],[Период]])</f>
        <v>4</v>
      </c>
      <c r="K39" s="66">
        <f>DAY(visits_daily[[#This Row],[Период]])</f>
        <v>7</v>
      </c>
      <c r="L39" s="66">
        <f>visits_daily[[#This Row],[Период]]-MIN(visits_daily[Период])</f>
        <v>37</v>
      </c>
      <c r="M39" s="72">
        <f>DATE(2026,3,21)-visits_daily[[#This Row],[Период]]</f>
        <v>-17</v>
      </c>
      <c r="N39" s="66">
        <f>SUM(visits_daily[[#Headers],[Визиты]]:visits_daily[[#This Row],[Визиты]])</f>
        <v>250</v>
      </c>
      <c r="O39" s="66">
        <f>visits_daily[[#This Row],[Визиты]]/SUM(visits_daily[Визиты])</f>
        <v>0</v>
      </c>
      <c r="P39" s="1">
        <f ca="1">IFERROR((visits_daily[[#This Row],[Визиты]]-OFFSET(visits_daily[[#This Row],[Визиты]],-1,0))/OFFSET(visits_daily[[#This Row],[Визиты]],-1,0),"")</f>
        <v>-1</v>
      </c>
      <c r="Q39" s="1">
        <f>visits_daily[[#This Row],[Визиты]]-AVERAGE(visits_daily[Визиты])</f>
        <v>-4.6769230769230772</v>
      </c>
    </row>
    <row r="40" spans="1:17">
      <c r="A40" s="52">
        <v>46120</v>
      </c>
      <c r="B40" s="1">
        <v>1</v>
      </c>
      <c r="C40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0" t="str">
        <f>IF(AND(visits_daily[[#This Row],[Визиты]]&gt;=10,WEEKDAY(visits_daily[[#This Row],[Период]],2)&lt;=5),"Рабочий пик","Обычный день")</f>
        <v>Обычный день</v>
      </c>
      <c r="E40" t="str">
        <f>IF(OR(visits_daily[[#This Row],[Визиты]]=0,visits_daily[[#This Row],[Визиты]]=1),"Мёртвый день","Нормальный")</f>
        <v>Мёртвый день</v>
      </c>
      <c r="F40" t="str">
        <f>TEXT(visits_daily[[#This Row],[Период]],"дддд")</f>
        <v>среда</v>
      </c>
      <c r="G40" s="66" t="str">
        <f>TEXT(visits_daily[[#This Row],[Период]],"ММММ ГГГГ")</f>
        <v>Апрель 2026</v>
      </c>
      <c r="H40" s="66">
        <f>WEEKNUM(visits_daily[[#This Row],[Период]],2)</f>
        <v>15</v>
      </c>
      <c r="I40" s="66">
        <f>WEEKDAY(visits_daily[[#This Row],[Период]],2)</f>
        <v>3</v>
      </c>
      <c r="J40" s="66">
        <f>MONTH(visits_daily[[#This Row],[Период]])</f>
        <v>4</v>
      </c>
      <c r="K40" s="66">
        <f>DAY(visits_daily[[#This Row],[Период]])</f>
        <v>8</v>
      </c>
      <c r="L40" s="66">
        <f>visits_daily[[#This Row],[Период]]-MIN(visits_daily[Период])</f>
        <v>38</v>
      </c>
      <c r="M40" s="72">
        <f>DATE(2026,3,21)-visits_daily[[#This Row],[Период]]</f>
        <v>-18</v>
      </c>
      <c r="N40" s="66">
        <f>SUM(visits_daily[[#Headers],[Визиты]]:visits_daily[[#This Row],[Визиты]])</f>
        <v>251</v>
      </c>
      <c r="O40" s="66">
        <f>visits_daily[[#This Row],[Визиты]]/SUM(visits_daily[Визиты])</f>
        <v>3.2894736842105261E-3</v>
      </c>
      <c r="P40" s="1" t="str">
        <f ca="1">IFERROR((visits_daily[[#This Row],[Визиты]]-OFFSET(visits_daily[[#This Row],[Визиты]],-1,0))/OFFSET(visits_daily[[#This Row],[Визиты]],-1,0),"")</f>
        <v/>
      </c>
      <c r="Q40" s="1">
        <f>visits_daily[[#This Row],[Визиты]]-AVERAGE(visits_daily[Визиты])</f>
        <v>-3.6769230769230772</v>
      </c>
    </row>
    <row r="41" spans="1:17">
      <c r="A41" s="52">
        <v>46121</v>
      </c>
      <c r="B41" s="1">
        <v>2</v>
      </c>
      <c r="C41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1" t="str">
        <f>IF(AND(visits_daily[[#This Row],[Визиты]]&gt;=10,WEEKDAY(visits_daily[[#This Row],[Период]],2)&lt;=5),"Рабочий пик","Обычный день")</f>
        <v>Обычный день</v>
      </c>
      <c r="E41" t="str">
        <f>IF(OR(visits_daily[[#This Row],[Визиты]]=0,visits_daily[[#This Row],[Визиты]]=1),"Мёртвый день","Нормальный")</f>
        <v>Нормальный</v>
      </c>
      <c r="F41" t="str">
        <f>TEXT(visits_daily[[#This Row],[Период]],"дддд")</f>
        <v>четверг</v>
      </c>
      <c r="G41" s="66" t="str">
        <f>TEXT(visits_daily[[#This Row],[Период]],"ММММ ГГГГ")</f>
        <v>Апрель 2026</v>
      </c>
      <c r="H41" s="66">
        <f>WEEKNUM(visits_daily[[#This Row],[Период]],2)</f>
        <v>15</v>
      </c>
      <c r="I41" s="66">
        <f>WEEKDAY(visits_daily[[#This Row],[Период]],2)</f>
        <v>4</v>
      </c>
      <c r="J41" s="66">
        <f>MONTH(visits_daily[[#This Row],[Период]])</f>
        <v>4</v>
      </c>
      <c r="K41" s="66">
        <f>DAY(visits_daily[[#This Row],[Период]])</f>
        <v>9</v>
      </c>
      <c r="L41" s="66">
        <f>visits_daily[[#This Row],[Период]]-MIN(visits_daily[Период])</f>
        <v>39</v>
      </c>
      <c r="M41" s="72">
        <f>DATE(2026,3,21)-visits_daily[[#This Row],[Период]]</f>
        <v>-19</v>
      </c>
      <c r="N41" s="66">
        <f>SUM(visits_daily[[#Headers],[Визиты]]:visits_daily[[#This Row],[Визиты]])</f>
        <v>253</v>
      </c>
      <c r="O41" s="66">
        <f>visits_daily[[#This Row],[Визиты]]/SUM(visits_daily[Визиты])</f>
        <v>6.5789473684210523E-3</v>
      </c>
      <c r="P41" s="1">
        <f ca="1">IFERROR((visits_daily[[#This Row],[Визиты]]-OFFSET(visits_daily[[#This Row],[Визиты]],-1,0))/OFFSET(visits_daily[[#This Row],[Визиты]],-1,0),"")</f>
        <v>1</v>
      </c>
      <c r="Q41" s="1">
        <f>visits_daily[[#This Row],[Визиты]]-AVERAGE(visits_daily[Визиты])</f>
        <v>-2.6769230769230772</v>
      </c>
    </row>
    <row r="42" spans="1:17">
      <c r="A42" s="52">
        <v>46122</v>
      </c>
      <c r="B42" s="1">
        <v>2</v>
      </c>
      <c r="C42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2" t="str">
        <f>IF(AND(visits_daily[[#This Row],[Визиты]]&gt;=10,WEEKDAY(visits_daily[[#This Row],[Период]],2)&lt;=5),"Рабочий пик","Обычный день")</f>
        <v>Обычный день</v>
      </c>
      <c r="E42" t="str">
        <f>IF(OR(visits_daily[[#This Row],[Визиты]]=0,visits_daily[[#This Row],[Визиты]]=1),"Мёртвый день","Нормальный")</f>
        <v>Нормальный</v>
      </c>
      <c r="F42" t="str">
        <f>TEXT(visits_daily[[#This Row],[Период]],"дддд")</f>
        <v>пятница</v>
      </c>
      <c r="G42" s="66" t="str">
        <f>TEXT(visits_daily[[#This Row],[Период]],"ММММ ГГГГ")</f>
        <v>Апрель 2026</v>
      </c>
      <c r="H42" s="66">
        <f>WEEKNUM(visits_daily[[#This Row],[Период]],2)</f>
        <v>15</v>
      </c>
      <c r="I42" s="66">
        <f>WEEKDAY(visits_daily[[#This Row],[Период]],2)</f>
        <v>5</v>
      </c>
      <c r="J42" s="66">
        <f>MONTH(visits_daily[[#This Row],[Период]])</f>
        <v>4</v>
      </c>
      <c r="K42" s="66">
        <f>DAY(visits_daily[[#This Row],[Период]])</f>
        <v>10</v>
      </c>
      <c r="L42" s="66">
        <f>visits_daily[[#This Row],[Период]]-MIN(visits_daily[Период])</f>
        <v>40</v>
      </c>
      <c r="M42" s="72">
        <f>DATE(2026,3,21)-visits_daily[[#This Row],[Период]]</f>
        <v>-20</v>
      </c>
      <c r="N42" s="66">
        <f>SUM(visits_daily[[#Headers],[Визиты]]:visits_daily[[#This Row],[Визиты]])</f>
        <v>255</v>
      </c>
      <c r="O42" s="66">
        <f>visits_daily[[#This Row],[Визиты]]/SUM(visits_daily[Визиты])</f>
        <v>6.5789473684210523E-3</v>
      </c>
      <c r="P42" s="1">
        <f ca="1">IFERROR((visits_daily[[#This Row],[Визиты]]-OFFSET(visits_daily[[#This Row],[Визиты]],-1,0))/OFFSET(visits_daily[[#This Row],[Визиты]],-1,0),"")</f>
        <v>0</v>
      </c>
      <c r="Q42" s="1">
        <f>visits_daily[[#This Row],[Визиты]]-AVERAGE(visits_daily[Визиты])</f>
        <v>-2.6769230769230772</v>
      </c>
    </row>
    <row r="43" spans="1:17">
      <c r="A43" s="52">
        <v>46123</v>
      </c>
      <c r="B43" s="1">
        <v>1</v>
      </c>
      <c r="C43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3" t="str">
        <f>IF(AND(visits_daily[[#This Row],[Визиты]]&gt;=10,WEEKDAY(visits_daily[[#This Row],[Период]],2)&lt;=5),"Рабочий пик","Обычный день")</f>
        <v>Обычный день</v>
      </c>
      <c r="E43" t="str">
        <f>IF(OR(visits_daily[[#This Row],[Визиты]]=0,visits_daily[[#This Row],[Визиты]]=1),"Мёртвый день","Нормальный")</f>
        <v>Мёртвый день</v>
      </c>
      <c r="F43" t="str">
        <f>TEXT(visits_daily[[#This Row],[Период]],"дддд")</f>
        <v>суббота</v>
      </c>
      <c r="G43" s="66" t="str">
        <f>TEXT(visits_daily[[#This Row],[Период]],"ММММ ГГГГ")</f>
        <v>Апрель 2026</v>
      </c>
      <c r="H43" s="66">
        <f>WEEKNUM(visits_daily[[#This Row],[Период]],2)</f>
        <v>15</v>
      </c>
      <c r="I43" s="66">
        <f>WEEKDAY(visits_daily[[#This Row],[Период]],2)</f>
        <v>6</v>
      </c>
      <c r="J43" s="66">
        <f>MONTH(visits_daily[[#This Row],[Период]])</f>
        <v>4</v>
      </c>
      <c r="K43" s="66">
        <f>DAY(visits_daily[[#This Row],[Период]])</f>
        <v>11</v>
      </c>
      <c r="L43" s="66">
        <f>visits_daily[[#This Row],[Период]]-MIN(visits_daily[Период])</f>
        <v>41</v>
      </c>
      <c r="M43" s="72">
        <f>DATE(2026,3,21)-visits_daily[[#This Row],[Период]]</f>
        <v>-21</v>
      </c>
      <c r="N43" s="66">
        <f>SUM(visits_daily[[#Headers],[Визиты]]:visits_daily[[#This Row],[Визиты]])</f>
        <v>256</v>
      </c>
      <c r="O43" s="66">
        <f>visits_daily[[#This Row],[Визиты]]/SUM(visits_daily[Визиты])</f>
        <v>3.2894736842105261E-3</v>
      </c>
      <c r="P43" s="1">
        <f ca="1">IFERROR((visits_daily[[#This Row],[Визиты]]-OFFSET(visits_daily[[#This Row],[Визиты]],-1,0))/OFFSET(visits_daily[[#This Row],[Визиты]],-1,0),"")</f>
        <v>-0.5</v>
      </c>
      <c r="Q43" s="1">
        <f>visits_daily[[#This Row],[Визиты]]-AVERAGE(visits_daily[Визиты])</f>
        <v>-3.6769230769230772</v>
      </c>
    </row>
    <row r="44" spans="1:17">
      <c r="A44" s="52">
        <v>46124</v>
      </c>
      <c r="B44" s="1">
        <v>1</v>
      </c>
      <c r="C44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4" t="str">
        <f>IF(AND(visits_daily[[#This Row],[Визиты]]&gt;=10,WEEKDAY(visits_daily[[#This Row],[Период]],2)&lt;=5),"Рабочий пик","Обычный день")</f>
        <v>Обычный день</v>
      </c>
      <c r="E44" t="str">
        <f>IF(OR(visits_daily[[#This Row],[Визиты]]=0,visits_daily[[#This Row],[Визиты]]=1),"Мёртвый день","Нормальный")</f>
        <v>Мёртвый день</v>
      </c>
      <c r="F44" t="str">
        <f>TEXT(visits_daily[[#This Row],[Период]],"дддд")</f>
        <v>воскресенье</v>
      </c>
      <c r="G44" s="66" t="str">
        <f>TEXT(visits_daily[[#This Row],[Период]],"ММММ ГГГГ")</f>
        <v>Апрель 2026</v>
      </c>
      <c r="H44" s="66">
        <f>WEEKNUM(visits_daily[[#This Row],[Период]],2)</f>
        <v>15</v>
      </c>
      <c r="I44" s="66">
        <f>WEEKDAY(visits_daily[[#This Row],[Период]],2)</f>
        <v>7</v>
      </c>
      <c r="J44" s="66">
        <f>MONTH(visits_daily[[#This Row],[Период]])</f>
        <v>4</v>
      </c>
      <c r="K44" s="66">
        <f>DAY(visits_daily[[#This Row],[Период]])</f>
        <v>12</v>
      </c>
      <c r="L44" s="66">
        <f>visits_daily[[#This Row],[Период]]-MIN(visits_daily[Период])</f>
        <v>42</v>
      </c>
      <c r="M44" s="72">
        <f>DATE(2026,3,21)-visits_daily[[#This Row],[Период]]</f>
        <v>-22</v>
      </c>
      <c r="N44" s="66">
        <f>SUM(visits_daily[[#Headers],[Визиты]]:visits_daily[[#This Row],[Визиты]])</f>
        <v>257</v>
      </c>
      <c r="O44" s="66">
        <f>visits_daily[[#This Row],[Визиты]]/SUM(visits_daily[Визиты])</f>
        <v>3.2894736842105261E-3</v>
      </c>
      <c r="P44" s="1">
        <f ca="1">IFERROR((visits_daily[[#This Row],[Визиты]]-OFFSET(visits_daily[[#This Row],[Визиты]],-1,0))/OFFSET(visits_daily[[#This Row],[Визиты]],-1,0),"")</f>
        <v>0</v>
      </c>
      <c r="Q44" s="1">
        <f>visits_daily[[#This Row],[Визиты]]-AVERAGE(visits_daily[Визиты])</f>
        <v>-3.6769230769230772</v>
      </c>
    </row>
    <row r="45" spans="1:17">
      <c r="A45" s="52">
        <v>46125</v>
      </c>
      <c r="B45" s="1">
        <v>3</v>
      </c>
      <c r="C45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5" t="str">
        <f>IF(AND(visits_daily[[#This Row],[Визиты]]&gt;=10,WEEKDAY(visits_daily[[#This Row],[Период]],2)&lt;=5),"Рабочий пик","Обычный день")</f>
        <v>Обычный день</v>
      </c>
      <c r="E45" t="str">
        <f>IF(OR(visits_daily[[#This Row],[Визиты]]=0,visits_daily[[#This Row],[Визиты]]=1),"Мёртвый день","Нормальный")</f>
        <v>Нормальный</v>
      </c>
      <c r="F45" t="str">
        <f>TEXT(visits_daily[[#This Row],[Период]],"дддд")</f>
        <v>понедельник</v>
      </c>
      <c r="G45" s="66" t="str">
        <f>TEXT(visits_daily[[#This Row],[Период]],"ММММ ГГГГ")</f>
        <v>Апрель 2026</v>
      </c>
      <c r="H45" s="66">
        <f>WEEKNUM(visits_daily[[#This Row],[Период]],2)</f>
        <v>16</v>
      </c>
      <c r="I45" s="66">
        <f>WEEKDAY(visits_daily[[#This Row],[Период]],2)</f>
        <v>1</v>
      </c>
      <c r="J45" s="66">
        <f>MONTH(visits_daily[[#This Row],[Период]])</f>
        <v>4</v>
      </c>
      <c r="K45" s="66">
        <f>DAY(visits_daily[[#This Row],[Период]])</f>
        <v>13</v>
      </c>
      <c r="L45" s="66">
        <f>visits_daily[[#This Row],[Период]]-MIN(visits_daily[Период])</f>
        <v>43</v>
      </c>
      <c r="M45" s="72">
        <f>DATE(2026,3,21)-visits_daily[[#This Row],[Период]]</f>
        <v>-23</v>
      </c>
      <c r="N45" s="66">
        <f>SUM(visits_daily[[#Headers],[Визиты]]:visits_daily[[#This Row],[Визиты]])</f>
        <v>260</v>
      </c>
      <c r="O45" s="66">
        <f>visits_daily[[#This Row],[Визиты]]/SUM(visits_daily[Визиты])</f>
        <v>9.8684210526315784E-3</v>
      </c>
      <c r="P45" s="1">
        <f ca="1">IFERROR((visits_daily[[#This Row],[Визиты]]-OFFSET(visits_daily[[#This Row],[Визиты]],-1,0))/OFFSET(visits_daily[[#This Row],[Визиты]],-1,0),"")</f>
        <v>2</v>
      </c>
      <c r="Q45" s="1">
        <f>visits_daily[[#This Row],[Визиты]]-AVERAGE(visits_daily[Визиты])</f>
        <v>-1.6769230769230772</v>
      </c>
    </row>
    <row r="46" spans="1:17">
      <c r="A46" s="52">
        <v>46126</v>
      </c>
      <c r="B46" s="1">
        <v>2</v>
      </c>
      <c r="C46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6" t="str">
        <f>IF(AND(visits_daily[[#This Row],[Визиты]]&gt;=10,WEEKDAY(visits_daily[[#This Row],[Период]],2)&lt;=5),"Рабочий пик","Обычный день")</f>
        <v>Обычный день</v>
      </c>
      <c r="E46" t="str">
        <f>IF(OR(visits_daily[[#This Row],[Визиты]]=0,visits_daily[[#This Row],[Визиты]]=1),"Мёртвый день","Нормальный")</f>
        <v>Нормальный</v>
      </c>
      <c r="F46" t="str">
        <f>TEXT(visits_daily[[#This Row],[Период]],"дддд")</f>
        <v>вторник</v>
      </c>
      <c r="G46" s="66" t="str">
        <f>TEXT(visits_daily[[#This Row],[Период]],"ММММ ГГГГ")</f>
        <v>Апрель 2026</v>
      </c>
      <c r="H46" s="66">
        <f>WEEKNUM(visits_daily[[#This Row],[Период]],2)</f>
        <v>16</v>
      </c>
      <c r="I46" s="66">
        <f>WEEKDAY(visits_daily[[#This Row],[Период]],2)</f>
        <v>2</v>
      </c>
      <c r="J46" s="66">
        <f>MONTH(visits_daily[[#This Row],[Период]])</f>
        <v>4</v>
      </c>
      <c r="K46" s="66">
        <f>DAY(visits_daily[[#This Row],[Период]])</f>
        <v>14</v>
      </c>
      <c r="L46" s="66">
        <f>visits_daily[[#This Row],[Период]]-MIN(visits_daily[Период])</f>
        <v>44</v>
      </c>
      <c r="M46" s="72">
        <f>DATE(2026,3,21)-visits_daily[[#This Row],[Период]]</f>
        <v>-24</v>
      </c>
      <c r="N46" s="66">
        <f>SUM(visits_daily[[#Headers],[Визиты]]:visits_daily[[#This Row],[Визиты]])</f>
        <v>262</v>
      </c>
      <c r="O46" s="66">
        <f>visits_daily[[#This Row],[Визиты]]/SUM(visits_daily[Визиты])</f>
        <v>6.5789473684210523E-3</v>
      </c>
      <c r="P46" s="1">
        <f ca="1">IFERROR((visits_daily[[#This Row],[Визиты]]-OFFSET(visits_daily[[#This Row],[Визиты]],-1,0))/OFFSET(visits_daily[[#This Row],[Визиты]],-1,0),"")</f>
        <v>-0.33333333333333331</v>
      </c>
      <c r="Q46" s="1">
        <f>visits_daily[[#This Row],[Визиты]]-AVERAGE(visits_daily[Визиты])</f>
        <v>-2.6769230769230772</v>
      </c>
    </row>
    <row r="47" spans="1:17">
      <c r="A47" s="52">
        <v>46127</v>
      </c>
      <c r="B47" s="1">
        <v>4</v>
      </c>
      <c r="C47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7" t="str">
        <f>IF(AND(visits_daily[[#This Row],[Визиты]]&gt;=10,WEEKDAY(visits_daily[[#This Row],[Период]],2)&lt;=5),"Рабочий пик","Обычный день")</f>
        <v>Обычный день</v>
      </c>
      <c r="E47" t="str">
        <f>IF(OR(visits_daily[[#This Row],[Визиты]]=0,visits_daily[[#This Row],[Визиты]]=1),"Мёртвый день","Нормальный")</f>
        <v>Нормальный</v>
      </c>
      <c r="F47" t="str">
        <f>TEXT(visits_daily[[#This Row],[Период]],"дддд")</f>
        <v>среда</v>
      </c>
      <c r="G47" s="66" t="str">
        <f>TEXT(visits_daily[[#This Row],[Период]],"ММММ ГГГГ")</f>
        <v>Апрель 2026</v>
      </c>
      <c r="H47" s="66">
        <f>WEEKNUM(visits_daily[[#This Row],[Период]],2)</f>
        <v>16</v>
      </c>
      <c r="I47" s="66">
        <f>WEEKDAY(visits_daily[[#This Row],[Период]],2)</f>
        <v>3</v>
      </c>
      <c r="J47" s="66">
        <f>MONTH(visits_daily[[#This Row],[Период]])</f>
        <v>4</v>
      </c>
      <c r="K47" s="66">
        <f>DAY(visits_daily[[#This Row],[Период]])</f>
        <v>15</v>
      </c>
      <c r="L47" s="66">
        <f>visits_daily[[#This Row],[Период]]-MIN(visits_daily[Период])</f>
        <v>45</v>
      </c>
      <c r="M47" s="72">
        <f>DATE(2026,3,21)-visits_daily[[#This Row],[Период]]</f>
        <v>-25</v>
      </c>
      <c r="N47" s="66">
        <f>SUM(visits_daily[[#Headers],[Визиты]]:visits_daily[[#This Row],[Визиты]])</f>
        <v>266</v>
      </c>
      <c r="O47" s="66">
        <f>visits_daily[[#This Row],[Визиты]]/SUM(visits_daily[Визиты])</f>
        <v>1.3157894736842105E-2</v>
      </c>
      <c r="P47" s="1">
        <f ca="1">IFERROR((visits_daily[[#This Row],[Визиты]]-OFFSET(visits_daily[[#This Row],[Визиты]],-1,0))/OFFSET(visits_daily[[#This Row],[Визиты]],-1,0),"")</f>
        <v>1</v>
      </c>
      <c r="Q47" s="1">
        <f>visits_daily[[#This Row],[Визиты]]-AVERAGE(visits_daily[Визиты])</f>
        <v>-0.67692307692307718</v>
      </c>
    </row>
    <row r="48" spans="1:17">
      <c r="A48" s="52">
        <v>46128</v>
      </c>
      <c r="B48" s="1">
        <v>8</v>
      </c>
      <c r="C48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48" t="str">
        <f>IF(AND(visits_daily[[#This Row],[Визиты]]&gt;=10,WEEKDAY(visits_daily[[#This Row],[Период]],2)&lt;=5),"Рабочий пик","Обычный день")</f>
        <v>Обычный день</v>
      </c>
      <c r="E48" t="str">
        <f>IF(OR(visits_daily[[#This Row],[Визиты]]=0,visits_daily[[#This Row],[Визиты]]=1),"Мёртвый день","Нормальный")</f>
        <v>Нормальный</v>
      </c>
      <c r="F48" t="str">
        <f>TEXT(visits_daily[[#This Row],[Период]],"дддд")</f>
        <v>четверг</v>
      </c>
      <c r="G48" s="66" t="str">
        <f>TEXT(visits_daily[[#This Row],[Период]],"ММММ ГГГГ")</f>
        <v>Апрель 2026</v>
      </c>
      <c r="H48" s="66">
        <f>WEEKNUM(visits_daily[[#This Row],[Период]],2)</f>
        <v>16</v>
      </c>
      <c r="I48" s="66">
        <f>WEEKDAY(visits_daily[[#This Row],[Период]],2)</f>
        <v>4</v>
      </c>
      <c r="J48" s="66">
        <f>MONTH(visits_daily[[#This Row],[Период]])</f>
        <v>4</v>
      </c>
      <c r="K48" s="66">
        <f>DAY(visits_daily[[#This Row],[Период]])</f>
        <v>16</v>
      </c>
      <c r="L48" s="66">
        <f>visits_daily[[#This Row],[Период]]-MIN(visits_daily[Период])</f>
        <v>46</v>
      </c>
      <c r="M48" s="72">
        <f>DATE(2026,3,21)-visits_daily[[#This Row],[Период]]</f>
        <v>-26</v>
      </c>
      <c r="N48" s="66">
        <f>SUM(visits_daily[[#Headers],[Визиты]]:visits_daily[[#This Row],[Визиты]])</f>
        <v>274</v>
      </c>
      <c r="O48" s="66">
        <f>visits_daily[[#This Row],[Визиты]]/SUM(visits_daily[Визиты])</f>
        <v>2.6315789473684209E-2</v>
      </c>
      <c r="P48" s="1">
        <f ca="1">IFERROR((visits_daily[[#This Row],[Визиты]]-OFFSET(visits_daily[[#This Row],[Визиты]],-1,0))/OFFSET(visits_daily[[#This Row],[Визиты]],-1,0),"")</f>
        <v>1</v>
      </c>
      <c r="Q48" s="1">
        <f>visits_daily[[#This Row],[Визиты]]-AVERAGE(visits_daily[Визиты])</f>
        <v>3.3230769230769228</v>
      </c>
    </row>
    <row r="49" spans="1:17">
      <c r="A49" s="52">
        <v>46129</v>
      </c>
      <c r="B49" s="1">
        <v>1</v>
      </c>
      <c r="C49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49" t="str">
        <f>IF(AND(visits_daily[[#This Row],[Визиты]]&gt;=10,WEEKDAY(visits_daily[[#This Row],[Период]],2)&lt;=5),"Рабочий пик","Обычный день")</f>
        <v>Обычный день</v>
      </c>
      <c r="E49" t="str">
        <f>IF(OR(visits_daily[[#This Row],[Визиты]]=0,visits_daily[[#This Row],[Визиты]]=1),"Мёртвый день","Нормальный")</f>
        <v>Мёртвый день</v>
      </c>
      <c r="F49" t="str">
        <f>TEXT(visits_daily[[#This Row],[Период]],"дддд")</f>
        <v>пятница</v>
      </c>
      <c r="G49" s="66" t="str">
        <f>TEXT(visits_daily[[#This Row],[Период]],"ММММ ГГГГ")</f>
        <v>Апрель 2026</v>
      </c>
      <c r="H49" s="66">
        <f>WEEKNUM(visits_daily[[#This Row],[Период]],2)</f>
        <v>16</v>
      </c>
      <c r="I49" s="66">
        <f>WEEKDAY(visits_daily[[#This Row],[Период]],2)</f>
        <v>5</v>
      </c>
      <c r="J49" s="66">
        <f>MONTH(visits_daily[[#This Row],[Период]])</f>
        <v>4</v>
      </c>
      <c r="K49" s="66">
        <f>DAY(visits_daily[[#This Row],[Период]])</f>
        <v>17</v>
      </c>
      <c r="L49" s="66">
        <f>visits_daily[[#This Row],[Период]]-MIN(visits_daily[Период])</f>
        <v>47</v>
      </c>
      <c r="M49" s="72">
        <f>DATE(2026,3,21)-visits_daily[[#This Row],[Период]]</f>
        <v>-27</v>
      </c>
      <c r="N49" s="66">
        <f>SUM(visits_daily[[#Headers],[Визиты]]:visits_daily[[#This Row],[Визиты]])</f>
        <v>275</v>
      </c>
      <c r="O49" s="66">
        <f>visits_daily[[#This Row],[Визиты]]/SUM(visits_daily[Визиты])</f>
        <v>3.2894736842105261E-3</v>
      </c>
      <c r="P49" s="1">
        <f ca="1">IFERROR((visits_daily[[#This Row],[Визиты]]-OFFSET(visits_daily[[#This Row],[Визиты]],-1,0))/OFFSET(visits_daily[[#This Row],[Визиты]],-1,0),"")</f>
        <v>-0.875</v>
      </c>
      <c r="Q49" s="1">
        <f>visits_daily[[#This Row],[Визиты]]-AVERAGE(visits_daily[Визиты])</f>
        <v>-3.6769230769230772</v>
      </c>
    </row>
    <row r="50" spans="1:17">
      <c r="A50" s="52">
        <v>46130</v>
      </c>
      <c r="B50" s="1">
        <v>1</v>
      </c>
      <c r="C50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0" t="str">
        <f>IF(AND(visits_daily[[#This Row],[Визиты]]&gt;=10,WEEKDAY(visits_daily[[#This Row],[Период]],2)&lt;=5),"Рабочий пик","Обычный день")</f>
        <v>Обычный день</v>
      </c>
      <c r="E50" t="str">
        <f>IF(OR(visits_daily[[#This Row],[Визиты]]=0,visits_daily[[#This Row],[Визиты]]=1),"Мёртвый день","Нормальный")</f>
        <v>Мёртвый день</v>
      </c>
      <c r="F50" t="str">
        <f>TEXT(visits_daily[[#This Row],[Период]],"дддд")</f>
        <v>суббота</v>
      </c>
      <c r="G50" s="66" t="str">
        <f>TEXT(visits_daily[[#This Row],[Период]],"ММММ ГГГГ")</f>
        <v>Апрель 2026</v>
      </c>
      <c r="H50" s="66">
        <f>WEEKNUM(visits_daily[[#This Row],[Период]],2)</f>
        <v>16</v>
      </c>
      <c r="I50" s="66">
        <f>WEEKDAY(visits_daily[[#This Row],[Период]],2)</f>
        <v>6</v>
      </c>
      <c r="J50" s="66">
        <f>MONTH(visits_daily[[#This Row],[Период]])</f>
        <v>4</v>
      </c>
      <c r="K50" s="66">
        <f>DAY(visits_daily[[#This Row],[Период]])</f>
        <v>18</v>
      </c>
      <c r="L50" s="66">
        <f>visits_daily[[#This Row],[Период]]-MIN(visits_daily[Период])</f>
        <v>48</v>
      </c>
      <c r="M50" s="72">
        <f>DATE(2026,3,21)-visits_daily[[#This Row],[Период]]</f>
        <v>-28</v>
      </c>
      <c r="N50" s="66">
        <f>SUM(visits_daily[[#Headers],[Визиты]]:visits_daily[[#This Row],[Визиты]])</f>
        <v>276</v>
      </c>
      <c r="O50" s="66">
        <f>visits_daily[[#This Row],[Визиты]]/SUM(visits_daily[Визиты])</f>
        <v>3.2894736842105261E-3</v>
      </c>
      <c r="P50" s="1">
        <f ca="1">IFERROR((visits_daily[[#This Row],[Визиты]]-OFFSET(visits_daily[[#This Row],[Визиты]],-1,0))/OFFSET(visits_daily[[#This Row],[Визиты]],-1,0),"")</f>
        <v>0</v>
      </c>
      <c r="Q50" s="1">
        <f>visits_daily[[#This Row],[Визиты]]-AVERAGE(visits_daily[Визиты])</f>
        <v>-3.6769230769230772</v>
      </c>
    </row>
    <row r="51" spans="1:17">
      <c r="A51" s="52">
        <v>46131</v>
      </c>
      <c r="B51" s="1">
        <v>1</v>
      </c>
      <c r="C51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1" t="str">
        <f>IF(AND(visits_daily[[#This Row],[Визиты]]&gt;=10,WEEKDAY(visits_daily[[#This Row],[Период]],2)&lt;=5),"Рабочий пик","Обычный день")</f>
        <v>Обычный день</v>
      </c>
      <c r="E51" t="str">
        <f>IF(OR(visits_daily[[#This Row],[Визиты]]=0,visits_daily[[#This Row],[Визиты]]=1),"Мёртвый день","Нормальный")</f>
        <v>Мёртвый день</v>
      </c>
      <c r="F51" t="str">
        <f>TEXT(visits_daily[[#This Row],[Период]],"дддд")</f>
        <v>воскресенье</v>
      </c>
      <c r="G51" s="66" t="str">
        <f>TEXT(visits_daily[[#This Row],[Период]],"ММММ ГГГГ")</f>
        <v>Апрель 2026</v>
      </c>
      <c r="H51" s="66">
        <f>WEEKNUM(visits_daily[[#This Row],[Период]],2)</f>
        <v>16</v>
      </c>
      <c r="I51" s="66">
        <f>WEEKDAY(visits_daily[[#This Row],[Период]],2)</f>
        <v>7</v>
      </c>
      <c r="J51" s="66">
        <f>MONTH(visits_daily[[#This Row],[Период]])</f>
        <v>4</v>
      </c>
      <c r="K51" s="66">
        <f>DAY(visits_daily[[#This Row],[Период]])</f>
        <v>19</v>
      </c>
      <c r="L51" s="66">
        <f>visits_daily[[#This Row],[Период]]-MIN(visits_daily[Период])</f>
        <v>49</v>
      </c>
      <c r="M51" s="72">
        <f>DATE(2026,3,21)-visits_daily[[#This Row],[Период]]</f>
        <v>-29</v>
      </c>
      <c r="N51" s="66">
        <f>SUM(visits_daily[[#Headers],[Визиты]]:visits_daily[[#This Row],[Визиты]])</f>
        <v>277</v>
      </c>
      <c r="O51" s="66">
        <f>visits_daily[[#This Row],[Визиты]]/SUM(visits_daily[Визиты])</f>
        <v>3.2894736842105261E-3</v>
      </c>
      <c r="P51" s="1">
        <f ca="1">IFERROR((visits_daily[[#This Row],[Визиты]]-OFFSET(visits_daily[[#This Row],[Визиты]],-1,0))/OFFSET(visits_daily[[#This Row],[Визиты]],-1,0),"")</f>
        <v>0</v>
      </c>
      <c r="Q51" s="1">
        <f>visits_daily[[#This Row],[Визиты]]-AVERAGE(visits_daily[Визиты])</f>
        <v>-3.6769230769230772</v>
      </c>
    </row>
    <row r="52" spans="1:17">
      <c r="A52" s="52">
        <v>46132</v>
      </c>
      <c r="B52" s="1">
        <v>2</v>
      </c>
      <c r="C52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2" t="str">
        <f>IF(AND(visits_daily[[#This Row],[Визиты]]&gt;=10,WEEKDAY(visits_daily[[#This Row],[Период]],2)&lt;=5),"Рабочий пик","Обычный день")</f>
        <v>Обычный день</v>
      </c>
      <c r="E52" t="str">
        <f>IF(OR(visits_daily[[#This Row],[Визиты]]=0,visits_daily[[#This Row],[Визиты]]=1),"Мёртвый день","Нормальный")</f>
        <v>Нормальный</v>
      </c>
      <c r="F52" t="str">
        <f>TEXT(visits_daily[[#This Row],[Период]],"дддд")</f>
        <v>понедельник</v>
      </c>
      <c r="G52" s="66" t="str">
        <f>TEXT(visits_daily[[#This Row],[Период]],"ММММ ГГГГ")</f>
        <v>Апрель 2026</v>
      </c>
      <c r="H52" s="66">
        <f>WEEKNUM(visits_daily[[#This Row],[Период]],2)</f>
        <v>17</v>
      </c>
      <c r="I52" s="66">
        <f>WEEKDAY(visits_daily[[#This Row],[Период]],2)</f>
        <v>1</v>
      </c>
      <c r="J52" s="66">
        <f>MONTH(visits_daily[[#This Row],[Период]])</f>
        <v>4</v>
      </c>
      <c r="K52" s="66">
        <f>DAY(visits_daily[[#This Row],[Период]])</f>
        <v>20</v>
      </c>
      <c r="L52" s="66">
        <f>visits_daily[[#This Row],[Период]]-MIN(visits_daily[Период])</f>
        <v>50</v>
      </c>
      <c r="M52" s="72">
        <f>DATE(2026,3,21)-visits_daily[[#This Row],[Период]]</f>
        <v>-30</v>
      </c>
      <c r="N52" s="66">
        <f>SUM(visits_daily[[#Headers],[Визиты]]:visits_daily[[#This Row],[Визиты]])</f>
        <v>279</v>
      </c>
      <c r="O52" s="66">
        <f>visits_daily[[#This Row],[Визиты]]/SUM(visits_daily[Визиты])</f>
        <v>6.5789473684210523E-3</v>
      </c>
      <c r="P52" s="1">
        <f ca="1">IFERROR((visits_daily[[#This Row],[Визиты]]-OFFSET(visits_daily[[#This Row],[Визиты]],-1,0))/OFFSET(visits_daily[[#This Row],[Визиты]],-1,0),"")</f>
        <v>1</v>
      </c>
      <c r="Q52" s="1">
        <f>visits_daily[[#This Row],[Визиты]]-AVERAGE(visits_daily[Визиты])</f>
        <v>-2.6769230769230772</v>
      </c>
    </row>
    <row r="53" spans="1:17">
      <c r="A53" s="52">
        <v>46133</v>
      </c>
      <c r="B53" s="1">
        <v>0</v>
      </c>
      <c r="C53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3" t="str">
        <f>IF(AND(visits_daily[[#This Row],[Визиты]]&gt;=10,WEEKDAY(visits_daily[[#This Row],[Период]],2)&lt;=5),"Рабочий пик","Обычный день")</f>
        <v>Обычный день</v>
      </c>
      <c r="E53" t="str">
        <f>IF(OR(visits_daily[[#This Row],[Визиты]]=0,visits_daily[[#This Row],[Визиты]]=1),"Мёртвый день","Нормальный")</f>
        <v>Мёртвый день</v>
      </c>
      <c r="F53" t="str">
        <f>TEXT(visits_daily[[#This Row],[Период]],"дддд")</f>
        <v>вторник</v>
      </c>
      <c r="G53" s="66" t="str">
        <f>TEXT(visits_daily[[#This Row],[Период]],"ММММ ГГГГ")</f>
        <v>Апрель 2026</v>
      </c>
      <c r="H53" s="66">
        <f>WEEKNUM(visits_daily[[#This Row],[Период]],2)</f>
        <v>17</v>
      </c>
      <c r="I53" s="66">
        <f>WEEKDAY(visits_daily[[#This Row],[Период]],2)</f>
        <v>2</v>
      </c>
      <c r="J53" s="66">
        <f>MONTH(visits_daily[[#This Row],[Период]])</f>
        <v>4</v>
      </c>
      <c r="K53" s="66">
        <f>DAY(visits_daily[[#This Row],[Период]])</f>
        <v>21</v>
      </c>
      <c r="L53" s="66">
        <f>visits_daily[[#This Row],[Период]]-MIN(visits_daily[Период])</f>
        <v>51</v>
      </c>
      <c r="M53" s="72">
        <f>DATE(2026,3,21)-visits_daily[[#This Row],[Период]]</f>
        <v>-31</v>
      </c>
      <c r="N53" s="66">
        <f>SUM(visits_daily[[#Headers],[Визиты]]:visits_daily[[#This Row],[Визиты]])</f>
        <v>279</v>
      </c>
      <c r="O53" s="66">
        <f>visits_daily[[#This Row],[Визиты]]/SUM(visits_daily[Визиты])</f>
        <v>0</v>
      </c>
      <c r="P53" s="1">
        <f ca="1">IFERROR((visits_daily[[#This Row],[Визиты]]-OFFSET(visits_daily[[#This Row],[Визиты]],-1,0))/OFFSET(visits_daily[[#This Row],[Визиты]],-1,0),"")</f>
        <v>-1</v>
      </c>
      <c r="Q53" s="1">
        <f>visits_daily[[#This Row],[Визиты]]-AVERAGE(visits_daily[Визиты])</f>
        <v>-4.6769230769230772</v>
      </c>
    </row>
    <row r="54" spans="1:17">
      <c r="A54" s="52">
        <v>46134</v>
      </c>
      <c r="B54" s="1">
        <v>0</v>
      </c>
      <c r="C54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4" t="str">
        <f>IF(AND(visits_daily[[#This Row],[Визиты]]&gt;=10,WEEKDAY(visits_daily[[#This Row],[Период]],2)&lt;=5),"Рабочий пик","Обычный день")</f>
        <v>Обычный день</v>
      </c>
      <c r="E54" t="str">
        <f>IF(OR(visits_daily[[#This Row],[Визиты]]=0,visits_daily[[#This Row],[Визиты]]=1),"Мёртвый день","Нормальный")</f>
        <v>Мёртвый день</v>
      </c>
      <c r="F54" t="str">
        <f>TEXT(visits_daily[[#This Row],[Период]],"дддд")</f>
        <v>среда</v>
      </c>
      <c r="G54" s="66" t="str">
        <f>TEXT(visits_daily[[#This Row],[Период]],"ММММ ГГГГ")</f>
        <v>Апрель 2026</v>
      </c>
      <c r="H54" s="66">
        <f>WEEKNUM(visits_daily[[#This Row],[Период]],2)</f>
        <v>17</v>
      </c>
      <c r="I54" s="66">
        <f>WEEKDAY(visits_daily[[#This Row],[Период]],2)</f>
        <v>3</v>
      </c>
      <c r="J54" s="66">
        <f>MONTH(visits_daily[[#This Row],[Период]])</f>
        <v>4</v>
      </c>
      <c r="K54" s="66">
        <f>DAY(visits_daily[[#This Row],[Период]])</f>
        <v>22</v>
      </c>
      <c r="L54" s="66">
        <f>visits_daily[[#This Row],[Период]]-MIN(visits_daily[Период])</f>
        <v>52</v>
      </c>
      <c r="M54" s="72">
        <f>DATE(2026,3,21)-visits_daily[[#This Row],[Период]]</f>
        <v>-32</v>
      </c>
      <c r="N54" s="66">
        <f>SUM(visits_daily[[#Headers],[Визиты]]:visits_daily[[#This Row],[Визиты]])</f>
        <v>279</v>
      </c>
      <c r="O54" s="66">
        <f>visits_daily[[#This Row],[Визиты]]/SUM(visits_daily[Визиты])</f>
        <v>0</v>
      </c>
      <c r="P54" s="1" t="str">
        <f ca="1">IFERROR((visits_daily[[#This Row],[Визиты]]-OFFSET(visits_daily[[#This Row],[Визиты]],-1,0))/OFFSET(visits_daily[[#This Row],[Визиты]],-1,0),"")</f>
        <v/>
      </c>
      <c r="Q54" s="1">
        <f>visits_daily[[#This Row],[Визиты]]-AVERAGE(visits_daily[Визиты])</f>
        <v>-4.6769230769230772</v>
      </c>
    </row>
    <row r="55" spans="1:17">
      <c r="A55" s="52">
        <v>46135</v>
      </c>
      <c r="B55" s="1">
        <v>6</v>
      </c>
      <c r="C55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55" t="str">
        <f>IF(AND(visits_daily[[#This Row],[Визиты]]&gt;=10,WEEKDAY(visits_daily[[#This Row],[Период]],2)&lt;=5),"Рабочий пик","Обычный день")</f>
        <v>Обычный день</v>
      </c>
      <c r="E55" t="str">
        <f>IF(OR(visits_daily[[#This Row],[Визиты]]=0,visits_daily[[#This Row],[Визиты]]=1),"Мёртвый день","Нормальный")</f>
        <v>Нормальный</v>
      </c>
      <c r="F55" t="str">
        <f>TEXT(visits_daily[[#This Row],[Период]],"дддд")</f>
        <v>четверг</v>
      </c>
      <c r="G55" s="66" t="str">
        <f>TEXT(visits_daily[[#This Row],[Период]],"ММММ ГГГГ")</f>
        <v>Апрель 2026</v>
      </c>
      <c r="H55" s="66">
        <f>WEEKNUM(visits_daily[[#This Row],[Период]],2)</f>
        <v>17</v>
      </c>
      <c r="I55" s="66">
        <f>WEEKDAY(visits_daily[[#This Row],[Период]],2)</f>
        <v>4</v>
      </c>
      <c r="J55" s="66">
        <f>MONTH(visits_daily[[#This Row],[Период]])</f>
        <v>4</v>
      </c>
      <c r="K55" s="66">
        <f>DAY(visits_daily[[#This Row],[Период]])</f>
        <v>23</v>
      </c>
      <c r="L55" s="66">
        <f>visits_daily[[#This Row],[Период]]-MIN(visits_daily[Период])</f>
        <v>53</v>
      </c>
      <c r="M55" s="72">
        <f>DATE(2026,3,21)-visits_daily[[#This Row],[Период]]</f>
        <v>-33</v>
      </c>
      <c r="N55" s="66">
        <f>SUM(visits_daily[[#Headers],[Визиты]]:visits_daily[[#This Row],[Визиты]])</f>
        <v>285</v>
      </c>
      <c r="O55" s="66">
        <f>visits_daily[[#This Row],[Визиты]]/SUM(visits_daily[Визиты])</f>
        <v>1.9736842105263157E-2</v>
      </c>
      <c r="P55" s="1" t="str">
        <f ca="1">IFERROR((visits_daily[[#This Row],[Визиты]]-OFFSET(visits_daily[[#This Row],[Визиты]],-1,0))/OFFSET(visits_daily[[#This Row],[Визиты]],-1,0),"")</f>
        <v/>
      </c>
      <c r="Q55" s="1">
        <f>visits_daily[[#This Row],[Визиты]]-AVERAGE(visits_daily[Визиты])</f>
        <v>1.3230769230769228</v>
      </c>
    </row>
    <row r="56" spans="1:17">
      <c r="A56" s="52">
        <v>46136</v>
      </c>
      <c r="B56" s="1">
        <v>2</v>
      </c>
      <c r="C56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6" t="str">
        <f>IF(AND(visits_daily[[#This Row],[Визиты]]&gt;=10,WEEKDAY(visits_daily[[#This Row],[Период]],2)&lt;=5),"Рабочий пик","Обычный день")</f>
        <v>Обычный день</v>
      </c>
      <c r="E56" t="str">
        <f>IF(OR(visits_daily[[#This Row],[Визиты]]=0,visits_daily[[#This Row],[Визиты]]=1),"Мёртвый день","Нормальный")</f>
        <v>Нормальный</v>
      </c>
      <c r="F56" t="str">
        <f>TEXT(visits_daily[[#This Row],[Период]],"дддд")</f>
        <v>пятница</v>
      </c>
      <c r="G56" s="66" t="str">
        <f>TEXT(visits_daily[[#This Row],[Период]],"ММММ ГГГГ")</f>
        <v>Апрель 2026</v>
      </c>
      <c r="H56" s="66">
        <f>WEEKNUM(visits_daily[[#This Row],[Период]],2)</f>
        <v>17</v>
      </c>
      <c r="I56" s="66">
        <f>WEEKDAY(visits_daily[[#This Row],[Период]],2)</f>
        <v>5</v>
      </c>
      <c r="J56" s="66">
        <f>MONTH(visits_daily[[#This Row],[Период]])</f>
        <v>4</v>
      </c>
      <c r="K56" s="66">
        <f>DAY(visits_daily[[#This Row],[Период]])</f>
        <v>24</v>
      </c>
      <c r="L56" s="66">
        <f>visits_daily[[#This Row],[Период]]-MIN(visits_daily[Период])</f>
        <v>54</v>
      </c>
      <c r="M56" s="72">
        <f>DATE(2026,3,21)-visits_daily[[#This Row],[Период]]</f>
        <v>-34</v>
      </c>
      <c r="N56" s="66">
        <f>SUM(visits_daily[[#Headers],[Визиты]]:visits_daily[[#This Row],[Визиты]])</f>
        <v>287</v>
      </c>
      <c r="O56" s="66">
        <f>visits_daily[[#This Row],[Визиты]]/SUM(visits_daily[Визиты])</f>
        <v>6.5789473684210523E-3</v>
      </c>
      <c r="P56" s="1">
        <f ca="1">IFERROR((visits_daily[[#This Row],[Визиты]]-OFFSET(visits_daily[[#This Row],[Визиты]],-1,0))/OFFSET(visits_daily[[#This Row],[Визиты]],-1,0),"")</f>
        <v>-0.66666666666666663</v>
      </c>
      <c r="Q56" s="1">
        <f>visits_daily[[#This Row],[Визиты]]-AVERAGE(visits_daily[Визиты])</f>
        <v>-2.6769230769230772</v>
      </c>
    </row>
    <row r="57" spans="1:17">
      <c r="A57" s="52">
        <v>46137</v>
      </c>
      <c r="B57" s="1">
        <v>3</v>
      </c>
      <c r="C57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7" t="str">
        <f>IF(AND(visits_daily[[#This Row],[Визиты]]&gt;=10,WEEKDAY(visits_daily[[#This Row],[Период]],2)&lt;=5),"Рабочий пик","Обычный день")</f>
        <v>Обычный день</v>
      </c>
      <c r="E57" t="str">
        <f>IF(OR(visits_daily[[#This Row],[Визиты]]=0,visits_daily[[#This Row],[Визиты]]=1),"Мёртвый день","Нормальный")</f>
        <v>Нормальный</v>
      </c>
      <c r="F57" t="str">
        <f>TEXT(visits_daily[[#This Row],[Период]],"дддд")</f>
        <v>суббота</v>
      </c>
      <c r="G57" s="66" t="str">
        <f>TEXT(visits_daily[[#This Row],[Период]],"ММММ ГГГГ")</f>
        <v>Апрель 2026</v>
      </c>
      <c r="H57" s="66">
        <f>WEEKNUM(visits_daily[[#This Row],[Период]],2)</f>
        <v>17</v>
      </c>
      <c r="I57" s="66">
        <f>WEEKDAY(visits_daily[[#This Row],[Период]],2)</f>
        <v>6</v>
      </c>
      <c r="J57" s="66">
        <f>MONTH(visits_daily[[#This Row],[Период]])</f>
        <v>4</v>
      </c>
      <c r="K57" s="66">
        <f>DAY(visits_daily[[#This Row],[Период]])</f>
        <v>25</v>
      </c>
      <c r="L57" s="66">
        <f>visits_daily[[#This Row],[Период]]-MIN(visits_daily[Период])</f>
        <v>55</v>
      </c>
      <c r="M57" s="72">
        <f>DATE(2026,3,21)-visits_daily[[#This Row],[Период]]</f>
        <v>-35</v>
      </c>
      <c r="N57" s="66">
        <f>SUM(visits_daily[[#Headers],[Визиты]]:visits_daily[[#This Row],[Визиты]])</f>
        <v>290</v>
      </c>
      <c r="O57" s="66">
        <f>visits_daily[[#This Row],[Визиты]]/SUM(visits_daily[Визиты])</f>
        <v>9.8684210526315784E-3</v>
      </c>
      <c r="P57" s="1">
        <f ca="1">IFERROR((visits_daily[[#This Row],[Визиты]]-OFFSET(visits_daily[[#This Row],[Визиты]],-1,0))/OFFSET(visits_daily[[#This Row],[Визиты]],-1,0),"")</f>
        <v>0.5</v>
      </c>
      <c r="Q57" s="1">
        <f>visits_daily[[#This Row],[Визиты]]-AVERAGE(visits_daily[Визиты])</f>
        <v>-1.6769230769230772</v>
      </c>
    </row>
    <row r="58" spans="1:17">
      <c r="A58" s="52">
        <v>46138</v>
      </c>
      <c r="B58" s="1">
        <v>0</v>
      </c>
      <c r="C58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8" t="str">
        <f>IF(AND(visits_daily[[#This Row],[Визиты]]&gt;=10,WEEKDAY(visits_daily[[#This Row],[Период]],2)&lt;=5),"Рабочий пик","Обычный день")</f>
        <v>Обычный день</v>
      </c>
      <c r="E58" t="str">
        <f>IF(OR(visits_daily[[#This Row],[Визиты]]=0,visits_daily[[#This Row],[Визиты]]=1),"Мёртвый день","Нормальный")</f>
        <v>Мёртвый день</v>
      </c>
      <c r="F58" t="str">
        <f>TEXT(visits_daily[[#This Row],[Период]],"дддд")</f>
        <v>воскресенье</v>
      </c>
      <c r="G58" s="66" t="str">
        <f>TEXT(visits_daily[[#This Row],[Период]],"ММММ ГГГГ")</f>
        <v>Апрель 2026</v>
      </c>
      <c r="H58" s="66">
        <f>WEEKNUM(visits_daily[[#This Row],[Период]],2)</f>
        <v>17</v>
      </c>
      <c r="I58" s="66">
        <f>WEEKDAY(visits_daily[[#This Row],[Период]],2)</f>
        <v>7</v>
      </c>
      <c r="J58" s="66">
        <f>MONTH(visits_daily[[#This Row],[Период]])</f>
        <v>4</v>
      </c>
      <c r="K58" s="66">
        <f>DAY(visits_daily[[#This Row],[Период]])</f>
        <v>26</v>
      </c>
      <c r="L58" s="66">
        <f>visits_daily[[#This Row],[Период]]-MIN(visits_daily[Период])</f>
        <v>56</v>
      </c>
      <c r="M58" s="72">
        <f>DATE(2026,3,21)-visits_daily[[#This Row],[Период]]</f>
        <v>-36</v>
      </c>
      <c r="N58" s="66">
        <f>SUM(visits_daily[[#Headers],[Визиты]]:visits_daily[[#This Row],[Визиты]])</f>
        <v>290</v>
      </c>
      <c r="O58" s="66">
        <f>visits_daily[[#This Row],[Визиты]]/SUM(visits_daily[Визиты])</f>
        <v>0</v>
      </c>
      <c r="P58" s="1">
        <f ca="1">IFERROR((visits_daily[[#This Row],[Визиты]]-OFFSET(visits_daily[[#This Row],[Визиты]],-1,0))/OFFSET(visits_daily[[#This Row],[Визиты]],-1,0),"")</f>
        <v>-1</v>
      </c>
      <c r="Q58" s="1">
        <f>visits_daily[[#This Row],[Визиты]]-AVERAGE(visits_daily[Визиты])</f>
        <v>-4.6769230769230772</v>
      </c>
    </row>
    <row r="59" spans="1:17">
      <c r="A59" s="52">
        <v>46139</v>
      </c>
      <c r="B59" s="1">
        <v>1</v>
      </c>
      <c r="C59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59" t="str">
        <f>IF(AND(visits_daily[[#This Row],[Визиты]]&gt;=10,WEEKDAY(visits_daily[[#This Row],[Период]],2)&lt;=5),"Рабочий пик","Обычный день")</f>
        <v>Обычный день</v>
      </c>
      <c r="E59" t="str">
        <f>IF(OR(visits_daily[[#This Row],[Визиты]]=0,visits_daily[[#This Row],[Визиты]]=1),"Мёртвый день","Нормальный")</f>
        <v>Мёртвый день</v>
      </c>
      <c r="F59" t="str">
        <f>TEXT(visits_daily[[#This Row],[Период]],"дддд")</f>
        <v>понедельник</v>
      </c>
      <c r="G59" s="66" t="str">
        <f>TEXT(visits_daily[[#This Row],[Период]],"ММММ ГГГГ")</f>
        <v>Апрель 2026</v>
      </c>
      <c r="H59" s="66">
        <f>WEEKNUM(visits_daily[[#This Row],[Период]],2)</f>
        <v>18</v>
      </c>
      <c r="I59" s="66">
        <f>WEEKDAY(visits_daily[[#This Row],[Период]],2)</f>
        <v>1</v>
      </c>
      <c r="J59" s="66">
        <f>MONTH(visits_daily[[#This Row],[Период]])</f>
        <v>4</v>
      </c>
      <c r="K59" s="66">
        <f>DAY(visits_daily[[#This Row],[Период]])</f>
        <v>27</v>
      </c>
      <c r="L59" s="66">
        <f>visits_daily[[#This Row],[Период]]-MIN(visits_daily[Период])</f>
        <v>57</v>
      </c>
      <c r="M59" s="72">
        <f>DATE(2026,3,21)-visits_daily[[#This Row],[Период]]</f>
        <v>-37</v>
      </c>
      <c r="N59" s="66">
        <f>SUM(visits_daily[[#Headers],[Визиты]]:visits_daily[[#This Row],[Визиты]])</f>
        <v>291</v>
      </c>
      <c r="O59" s="66">
        <f>visits_daily[[#This Row],[Визиты]]/SUM(visits_daily[Визиты])</f>
        <v>3.2894736842105261E-3</v>
      </c>
      <c r="P59" s="1" t="str">
        <f ca="1">IFERROR((visits_daily[[#This Row],[Визиты]]-OFFSET(visits_daily[[#This Row],[Визиты]],-1,0))/OFFSET(visits_daily[[#This Row],[Визиты]],-1,0),"")</f>
        <v/>
      </c>
      <c r="Q59" s="1">
        <f>visits_daily[[#This Row],[Визиты]]-AVERAGE(visits_daily[Визиты])</f>
        <v>-3.6769230769230772</v>
      </c>
    </row>
    <row r="60" spans="1:17">
      <c r="A60" s="52">
        <v>46140</v>
      </c>
      <c r="B60" s="1">
        <v>5</v>
      </c>
      <c r="C60" s="56" t="str">
        <f>IF(visits_daily[[#This Row],[Визиты]]&gt;=15,"Пик",IF(visits_daily[[#This Row],[Визиты]]&gt;=10,"Высокий",IF(visits_daily[[#This Row],[Визиты]]&gt;=5,"Средний","Низкий")))</f>
        <v>Средний</v>
      </c>
      <c r="D60" t="str">
        <f>IF(AND(visits_daily[[#This Row],[Визиты]]&gt;=10,WEEKDAY(visits_daily[[#This Row],[Период]],2)&lt;=5),"Рабочий пик","Обычный день")</f>
        <v>Обычный день</v>
      </c>
      <c r="E60" t="str">
        <f>IF(OR(visits_daily[[#This Row],[Визиты]]=0,visits_daily[[#This Row],[Визиты]]=1),"Мёртвый день","Нормальный")</f>
        <v>Нормальный</v>
      </c>
      <c r="F60" t="str">
        <f>TEXT(visits_daily[[#This Row],[Период]],"дддд")</f>
        <v>вторник</v>
      </c>
      <c r="G60" s="66" t="str">
        <f>TEXT(visits_daily[[#This Row],[Период]],"ММММ ГГГГ")</f>
        <v>Апрель 2026</v>
      </c>
      <c r="H60" s="66">
        <f>WEEKNUM(visits_daily[[#This Row],[Период]],2)</f>
        <v>18</v>
      </c>
      <c r="I60" s="66">
        <f>WEEKDAY(visits_daily[[#This Row],[Период]],2)</f>
        <v>2</v>
      </c>
      <c r="J60" s="66">
        <f>MONTH(visits_daily[[#This Row],[Период]])</f>
        <v>4</v>
      </c>
      <c r="K60" s="66">
        <f>DAY(visits_daily[[#This Row],[Период]])</f>
        <v>28</v>
      </c>
      <c r="L60" s="66">
        <f>visits_daily[[#This Row],[Период]]-MIN(visits_daily[Период])</f>
        <v>58</v>
      </c>
      <c r="M60" s="72">
        <f>DATE(2026,3,21)-visits_daily[[#This Row],[Период]]</f>
        <v>-38</v>
      </c>
      <c r="N60" s="66">
        <f>SUM(visits_daily[[#Headers],[Визиты]]:visits_daily[[#This Row],[Визиты]])</f>
        <v>296</v>
      </c>
      <c r="O60" s="66">
        <f>visits_daily[[#This Row],[Визиты]]/SUM(visits_daily[Визиты])</f>
        <v>1.6447368421052631E-2</v>
      </c>
      <c r="P60" s="1">
        <f ca="1">IFERROR((visits_daily[[#This Row],[Визиты]]-OFFSET(visits_daily[[#This Row],[Визиты]],-1,0))/OFFSET(visits_daily[[#This Row],[Визиты]],-1,0),"")</f>
        <v>4</v>
      </c>
      <c r="Q60" s="1">
        <f>visits_daily[[#This Row],[Визиты]]-AVERAGE(visits_daily[Визиты])</f>
        <v>0.32307692307692282</v>
      </c>
    </row>
    <row r="61" spans="1:17">
      <c r="A61" s="52">
        <v>46141</v>
      </c>
      <c r="B61" s="1">
        <v>1</v>
      </c>
      <c r="C61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61" t="str">
        <f>IF(AND(visits_daily[[#This Row],[Визиты]]&gt;=10,WEEKDAY(visits_daily[[#This Row],[Период]],2)&lt;=5),"Рабочий пик","Обычный день")</f>
        <v>Обычный день</v>
      </c>
      <c r="E61" t="str">
        <f>IF(OR(visits_daily[[#This Row],[Визиты]]=0,visits_daily[[#This Row],[Визиты]]=1),"Мёртвый день","Нормальный")</f>
        <v>Мёртвый день</v>
      </c>
      <c r="F61" t="str">
        <f>TEXT(visits_daily[[#This Row],[Период]],"дддд")</f>
        <v>среда</v>
      </c>
      <c r="G61" s="66" t="str">
        <f>TEXT(visits_daily[[#This Row],[Период]],"ММММ ГГГГ")</f>
        <v>Апрель 2026</v>
      </c>
      <c r="H61" s="66">
        <f>WEEKNUM(visits_daily[[#This Row],[Период]],2)</f>
        <v>18</v>
      </c>
      <c r="I61" s="66">
        <f>WEEKDAY(visits_daily[[#This Row],[Период]],2)</f>
        <v>3</v>
      </c>
      <c r="J61" s="66">
        <f>MONTH(visits_daily[[#This Row],[Период]])</f>
        <v>4</v>
      </c>
      <c r="K61" s="66">
        <f>DAY(visits_daily[[#This Row],[Период]])</f>
        <v>29</v>
      </c>
      <c r="L61" s="66">
        <f>visits_daily[[#This Row],[Период]]-MIN(visits_daily[Период])</f>
        <v>59</v>
      </c>
      <c r="M61" s="72">
        <f>DATE(2026,3,21)-visits_daily[[#This Row],[Период]]</f>
        <v>-39</v>
      </c>
      <c r="N61" s="66">
        <f>SUM(visits_daily[[#Headers],[Визиты]]:visits_daily[[#This Row],[Визиты]])</f>
        <v>297</v>
      </c>
      <c r="O61" s="66">
        <f>visits_daily[[#This Row],[Визиты]]/SUM(visits_daily[Визиты])</f>
        <v>3.2894736842105261E-3</v>
      </c>
      <c r="P61" s="1">
        <f ca="1">IFERROR((visits_daily[[#This Row],[Визиты]]-OFFSET(visits_daily[[#This Row],[Визиты]],-1,0))/OFFSET(visits_daily[[#This Row],[Визиты]],-1,0),"")</f>
        <v>-0.8</v>
      </c>
      <c r="Q61" s="1">
        <f>visits_daily[[#This Row],[Визиты]]-AVERAGE(visits_daily[Визиты])</f>
        <v>-3.6769230769230772</v>
      </c>
    </row>
    <row r="62" spans="1:17">
      <c r="A62" s="52">
        <v>46142</v>
      </c>
      <c r="B62" s="1">
        <v>1</v>
      </c>
      <c r="C62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62" t="str">
        <f>IF(AND(visits_daily[[#This Row],[Визиты]]&gt;=10,WEEKDAY(visits_daily[[#This Row],[Период]],2)&lt;=5),"Рабочий пик","Обычный день")</f>
        <v>Обычный день</v>
      </c>
      <c r="E62" t="str">
        <f>IF(OR(visits_daily[[#This Row],[Визиты]]=0,visits_daily[[#This Row],[Визиты]]=1),"Мёртвый день","Нормальный")</f>
        <v>Мёртвый день</v>
      </c>
      <c r="F62" t="str">
        <f>TEXT(visits_daily[[#This Row],[Период]],"дддд")</f>
        <v>четверг</v>
      </c>
      <c r="G62" s="66" t="str">
        <f>TEXT(visits_daily[[#This Row],[Период]],"ММММ ГГГГ")</f>
        <v>Апрель 2026</v>
      </c>
      <c r="H62" s="66">
        <f>WEEKNUM(visits_daily[[#This Row],[Период]],2)</f>
        <v>18</v>
      </c>
      <c r="I62" s="66">
        <f>WEEKDAY(visits_daily[[#This Row],[Период]],2)</f>
        <v>4</v>
      </c>
      <c r="J62" s="66">
        <f>MONTH(visits_daily[[#This Row],[Период]])</f>
        <v>4</v>
      </c>
      <c r="K62" s="66">
        <f>DAY(visits_daily[[#This Row],[Период]])</f>
        <v>30</v>
      </c>
      <c r="L62" s="66">
        <f>visits_daily[[#This Row],[Период]]-MIN(visits_daily[Период])</f>
        <v>60</v>
      </c>
      <c r="M62" s="72">
        <f>DATE(2026,3,21)-visits_daily[[#This Row],[Период]]</f>
        <v>-40</v>
      </c>
      <c r="N62" s="66">
        <f>SUM(visits_daily[[#Headers],[Визиты]]:visits_daily[[#This Row],[Визиты]])</f>
        <v>298</v>
      </c>
      <c r="O62" s="66">
        <f>visits_daily[[#This Row],[Визиты]]/SUM(visits_daily[Визиты])</f>
        <v>3.2894736842105261E-3</v>
      </c>
      <c r="P62" s="1">
        <f ca="1">IFERROR((visits_daily[[#This Row],[Визиты]]-OFFSET(visits_daily[[#This Row],[Визиты]],-1,0))/OFFSET(visits_daily[[#This Row],[Визиты]],-1,0),"")</f>
        <v>0</v>
      </c>
      <c r="Q62" s="1">
        <f>visits_daily[[#This Row],[Визиты]]-AVERAGE(visits_daily[Визиты])</f>
        <v>-3.6769230769230772</v>
      </c>
    </row>
    <row r="63" spans="1:17">
      <c r="A63" s="52">
        <v>46143</v>
      </c>
      <c r="B63" s="1">
        <v>0</v>
      </c>
      <c r="C63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63" t="str">
        <f>IF(AND(visits_daily[[#This Row],[Визиты]]&gt;=10,WEEKDAY(visits_daily[[#This Row],[Период]],2)&lt;=5),"Рабочий пик","Обычный день")</f>
        <v>Обычный день</v>
      </c>
      <c r="E63" t="str">
        <f>IF(OR(visits_daily[[#This Row],[Визиты]]=0,visits_daily[[#This Row],[Визиты]]=1),"Мёртвый день","Нормальный")</f>
        <v>Мёртвый день</v>
      </c>
      <c r="F63" t="str">
        <f>TEXT(visits_daily[[#This Row],[Период]],"дддд")</f>
        <v>пятница</v>
      </c>
      <c r="G63" s="66" t="str">
        <f>TEXT(visits_daily[[#This Row],[Период]],"ММММ ГГГГ")</f>
        <v>Май 2026</v>
      </c>
      <c r="H63" s="66">
        <f>WEEKNUM(visits_daily[[#This Row],[Период]],2)</f>
        <v>18</v>
      </c>
      <c r="I63" s="66">
        <f>WEEKDAY(visits_daily[[#This Row],[Период]],2)</f>
        <v>5</v>
      </c>
      <c r="J63" s="66">
        <f>MONTH(visits_daily[[#This Row],[Период]])</f>
        <v>5</v>
      </c>
      <c r="K63" s="66">
        <f>DAY(visits_daily[[#This Row],[Период]])</f>
        <v>1</v>
      </c>
      <c r="L63" s="66">
        <f>visits_daily[[#This Row],[Период]]-MIN(visits_daily[Период])</f>
        <v>61</v>
      </c>
      <c r="M63" s="72">
        <f>DATE(2026,3,21)-visits_daily[[#This Row],[Период]]</f>
        <v>-41</v>
      </c>
      <c r="N63" s="66">
        <f>SUM(visits_daily[[#Headers],[Визиты]]:visits_daily[[#This Row],[Визиты]])</f>
        <v>298</v>
      </c>
      <c r="O63" s="66">
        <f>visits_daily[[#This Row],[Визиты]]/SUM(visits_daily[Визиты])</f>
        <v>0</v>
      </c>
      <c r="P63" s="1">
        <f ca="1">IFERROR((visits_daily[[#This Row],[Визиты]]-OFFSET(visits_daily[[#This Row],[Визиты]],-1,0))/OFFSET(visits_daily[[#This Row],[Визиты]],-1,0),"")</f>
        <v>-1</v>
      </c>
      <c r="Q63" s="1">
        <f>visits_daily[[#This Row],[Визиты]]-AVERAGE(visits_daily[Визиты])</f>
        <v>-4.6769230769230772</v>
      </c>
    </row>
    <row r="64" spans="1:17">
      <c r="A64" s="52">
        <v>46144</v>
      </c>
      <c r="B64" s="1">
        <v>1</v>
      </c>
      <c r="C64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64" t="str">
        <f>IF(AND(visits_daily[[#This Row],[Визиты]]&gt;=10,WEEKDAY(visits_daily[[#This Row],[Период]],2)&lt;=5),"Рабочий пик","Обычный день")</f>
        <v>Обычный день</v>
      </c>
      <c r="E64" t="str">
        <f>IF(OR(visits_daily[[#This Row],[Визиты]]=0,visits_daily[[#This Row],[Визиты]]=1),"Мёртвый день","Нормальный")</f>
        <v>Мёртвый день</v>
      </c>
      <c r="F64" t="str">
        <f>TEXT(visits_daily[[#This Row],[Период]],"дддд")</f>
        <v>суббота</v>
      </c>
      <c r="G64" s="66" t="str">
        <f>TEXT(visits_daily[[#This Row],[Период]],"ММММ ГГГГ")</f>
        <v>Май 2026</v>
      </c>
      <c r="H64" s="66">
        <f>WEEKNUM(visits_daily[[#This Row],[Период]],2)</f>
        <v>18</v>
      </c>
      <c r="I64" s="66">
        <f>WEEKDAY(visits_daily[[#This Row],[Период]],2)</f>
        <v>6</v>
      </c>
      <c r="J64" s="66">
        <f>MONTH(visits_daily[[#This Row],[Период]])</f>
        <v>5</v>
      </c>
      <c r="K64" s="66">
        <f>DAY(visits_daily[[#This Row],[Период]])</f>
        <v>2</v>
      </c>
      <c r="L64" s="66">
        <f>visits_daily[[#This Row],[Период]]-MIN(visits_daily[Период])</f>
        <v>62</v>
      </c>
      <c r="M64" s="72">
        <f>DATE(2026,3,21)-visits_daily[[#This Row],[Период]]</f>
        <v>-42</v>
      </c>
      <c r="N64" s="66">
        <f>SUM(visits_daily[[#Headers],[Визиты]]:visits_daily[[#This Row],[Визиты]])</f>
        <v>299</v>
      </c>
      <c r="O64" s="66">
        <f>visits_daily[[#This Row],[Визиты]]/SUM(visits_daily[Визиты])</f>
        <v>3.2894736842105261E-3</v>
      </c>
      <c r="P64" s="1" t="str">
        <f ca="1">IFERROR((visits_daily[[#This Row],[Визиты]]-OFFSET(visits_daily[[#This Row],[Визиты]],-1,0))/OFFSET(visits_daily[[#This Row],[Визиты]],-1,0),"")</f>
        <v/>
      </c>
      <c r="Q64" s="1">
        <f>visits_daily[[#This Row],[Визиты]]-AVERAGE(visits_daily[Визиты])</f>
        <v>-3.6769230769230772</v>
      </c>
    </row>
    <row r="65" spans="1:17">
      <c r="A65" s="52">
        <v>46145</v>
      </c>
      <c r="B65" s="1">
        <v>3</v>
      </c>
      <c r="C65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65" t="str">
        <f>IF(AND(visits_daily[[#This Row],[Визиты]]&gt;=10,WEEKDAY(visits_daily[[#This Row],[Период]],2)&lt;=5),"Рабочий пик","Обычный день")</f>
        <v>Обычный день</v>
      </c>
      <c r="E65" t="str">
        <f>IF(OR(visits_daily[[#This Row],[Визиты]]=0,visits_daily[[#This Row],[Визиты]]=1),"Мёртвый день","Нормальный")</f>
        <v>Нормальный</v>
      </c>
      <c r="F65" t="str">
        <f>TEXT(visits_daily[[#This Row],[Период]],"дддд")</f>
        <v>воскресенье</v>
      </c>
      <c r="G65" s="66" t="str">
        <f>TEXT(visits_daily[[#This Row],[Период]],"ММММ ГГГГ")</f>
        <v>Май 2026</v>
      </c>
      <c r="H65" s="66">
        <f>WEEKNUM(visits_daily[[#This Row],[Период]],2)</f>
        <v>18</v>
      </c>
      <c r="I65" s="66">
        <f>WEEKDAY(visits_daily[[#This Row],[Период]],2)</f>
        <v>7</v>
      </c>
      <c r="J65" s="66">
        <f>MONTH(visits_daily[[#This Row],[Период]])</f>
        <v>5</v>
      </c>
      <c r="K65" s="66">
        <f>DAY(visits_daily[[#This Row],[Период]])</f>
        <v>3</v>
      </c>
      <c r="L65" s="66">
        <f>visits_daily[[#This Row],[Период]]-MIN(visits_daily[Период])</f>
        <v>63</v>
      </c>
      <c r="M65" s="72">
        <f>DATE(2026,3,21)-visits_daily[[#This Row],[Период]]</f>
        <v>-43</v>
      </c>
      <c r="N65" s="66">
        <f>SUM(visits_daily[[#Headers],[Визиты]]:visits_daily[[#This Row],[Визиты]])</f>
        <v>302</v>
      </c>
      <c r="O65" s="66">
        <f>visits_daily[[#This Row],[Визиты]]/SUM(visits_daily[Визиты])</f>
        <v>9.8684210526315784E-3</v>
      </c>
      <c r="P65" s="1">
        <f ca="1">IFERROR((visits_daily[[#This Row],[Визиты]]-OFFSET(visits_daily[[#This Row],[Визиты]],-1,0))/OFFSET(visits_daily[[#This Row],[Визиты]],-1,0),"")</f>
        <v>2</v>
      </c>
      <c r="Q65" s="1">
        <f>visits_daily[[#This Row],[Визиты]]-AVERAGE(visits_daily[Визиты])</f>
        <v>-1.6769230769230772</v>
      </c>
    </row>
    <row r="66" spans="1:17">
      <c r="A66" s="52">
        <v>46146</v>
      </c>
      <c r="B66" s="1">
        <v>2</v>
      </c>
      <c r="C66" s="56" t="str">
        <f>IF(visits_daily[[#This Row],[Визиты]]&gt;=15,"Пик",IF(visits_daily[[#This Row],[Визиты]]&gt;=10,"Высокий",IF(visits_daily[[#This Row],[Визиты]]&gt;=5,"Средний","Низкий")))</f>
        <v>Низкий</v>
      </c>
      <c r="D66" t="str">
        <f>IF(AND(visits_daily[[#This Row],[Визиты]]&gt;=10,WEEKDAY(visits_daily[[#This Row],[Период]],2)&lt;=5),"Рабочий пик","Обычный день")</f>
        <v>Обычный день</v>
      </c>
      <c r="E66" t="str">
        <f>IF(OR(visits_daily[[#This Row],[Визиты]]=0,visits_daily[[#This Row],[Визиты]]=1),"Мёртвый день","Нормальный")</f>
        <v>Нормальный</v>
      </c>
      <c r="F66" t="str">
        <f>TEXT(visits_daily[[#This Row],[Период]],"дддд")</f>
        <v>понедельник</v>
      </c>
      <c r="G66" s="66" t="str">
        <f>TEXT(visits_daily[[#This Row],[Период]],"ММММ ГГГГ")</f>
        <v>Май 2026</v>
      </c>
      <c r="H66" s="66">
        <f>WEEKNUM(visits_daily[[#This Row],[Период]],2)</f>
        <v>19</v>
      </c>
      <c r="I66" s="66">
        <f>WEEKDAY(visits_daily[[#This Row],[Период]],2)</f>
        <v>1</v>
      </c>
      <c r="J66" s="66">
        <f>MONTH(visits_daily[[#This Row],[Период]])</f>
        <v>5</v>
      </c>
      <c r="K66" s="66">
        <f>DAY(visits_daily[[#This Row],[Период]])</f>
        <v>4</v>
      </c>
      <c r="L66" s="66">
        <f>visits_daily[[#This Row],[Период]]-MIN(visits_daily[Период])</f>
        <v>64</v>
      </c>
      <c r="M66" s="72">
        <f>DATE(2026,3,21)-visits_daily[[#This Row],[Период]]</f>
        <v>-44</v>
      </c>
      <c r="N66" s="66">
        <f>SUM(visits_daily[[#Headers],[Визиты]]:visits_daily[[#This Row],[Визиты]])</f>
        <v>304</v>
      </c>
      <c r="O66" s="66">
        <f>visits_daily[[#This Row],[Визиты]]/SUM(visits_daily[Визиты])</f>
        <v>6.5789473684210523E-3</v>
      </c>
      <c r="P66" s="1">
        <f ca="1">IFERROR((visits_daily[[#This Row],[Визиты]]-OFFSET(visits_daily[[#This Row],[Визиты]],-1,0))/OFFSET(visits_daily[[#This Row],[Визиты]],-1,0),"")</f>
        <v>-0.33333333333333331</v>
      </c>
      <c r="Q66" s="1">
        <f>visits_daily[[#This Row],[Визиты]]-AVERAGE(visits_daily[Визиты])</f>
        <v>-2.6769230769230772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J20" sqref="J20"/>
    </sheetView>
  </sheetViews>
  <sheetFormatPr defaultRowHeight="15"/>
  <cols>
    <col min="1" max="1" width="24.5703125" customWidth="1"/>
    <col min="2" max="2" width="11" customWidth="1"/>
    <col min="3" max="3" width="15.42578125" customWidth="1"/>
    <col min="4" max="4" width="10.85546875" customWidth="1"/>
    <col min="5" max="5" width="23.5703125" customWidth="1"/>
    <col min="6" max="6" width="19.42578125" customWidth="1"/>
    <col min="7" max="7" width="24.85546875" bestFit="1" customWidth="1"/>
    <col min="8" max="8" width="23.5703125" bestFit="1" customWidth="1"/>
  </cols>
  <sheetData>
    <row r="1" spans="1:8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69" t="s">
        <v>448</v>
      </c>
      <c r="H1" s="69" t="s">
        <v>449</v>
      </c>
    </row>
    <row r="2" spans="1:8">
      <c r="A2" s="3" t="s">
        <v>73</v>
      </c>
      <c r="B2" s="4">
        <v>298</v>
      </c>
      <c r="C2" s="4">
        <v>109</v>
      </c>
      <c r="D2" s="5">
        <v>0.29865771812080538</v>
      </c>
      <c r="E2" s="6">
        <v>7.1006711409395971</v>
      </c>
      <c r="F2" s="57" t="s">
        <v>74</v>
      </c>
      <c r="G2" s="68">
        <f>HOUR(Таблица7[[#This Row],[Время на сайте]])*3600+MINUTE(Таблица7[[#This Row],[Время на сайте]])*60+SECOND(Таблица7[[#This Row],[Время на сайте]])</f>
        <v>748</v>
      </c>
      <c r="H2" s="68">
        <f>(HOUR(Таблица7[[#This Row],[Время на сайте]])*3600+MINUTE(Таблица7[[#This Row],[Время на сайте]])*60+SECOND(Таблица7[[#This Row],[Время на сайте]]))/60</f>
        <v>12.466666666666667</v>
      </c>
    </row>
    <row r="3" spans="1:8">
      <c r="A3" s="3" t="s">
        <v>75</v>
      </c>
      <c r="B3" s="4">
        <v>14</v>
      </c>
      <c r="C3" s="4">
        <v>10</v>
      </c>
      <c r="D3" s="5">
        <v>0.35714285714285715</v>
      </c>
      <c r="E3" s="6">
        <v>1.8571428571428572</v>
      </c>
      <c r="F3" s="57" t="s">
        <v>76</v>
      </c>
      <c r="G3" s="68">
        <f>HOUR(Таблица7[[#This Row],[Время на сайте]])*3600+MINUTE(Таблица7[[#This Row],[Время на сайте]])*60+SECOND(Таблица7[[#This Row],[Время на сайте]])</f>
        <v>165</v>
      </c>
      <c r="H3" s="68">
        <f>(HOUR(Таблица7[[#This Row],[Время на сайте]])*3600+MINUTE(Таблица7[[#This Row],[Время на сайте]])*60+SECOND(Таблица7[[#This Row],[Время на сайте]]))/60</f>
        <v>2.75</v>
      </c>
    </row>
    <row r="4" spans="1:8">
      <c r="A4" s="3" t="s">
        <v>77</v>
      </c>
      <c r="B4" s="4">
        <v>31</v>
      </c>
      <c r="C4" s="4">
        <v>17</v>
      </c>
      <c r="D4" s="5">
        <v>0.22580645161290319</v>
      </c>
      <c r="E4" s="6">
        <v>8.064516129032258</v>
      </c>
      <c r="F4" s="57" t="s">
        <v>78</v>
      </c>
      <c r="G4" s="68">
        <f>HOUR(Таблица7[[#This Row],[Время на сайте]])*3600+MINUTE(Таблица7[[#This Row],[Время на сайте]])*60+SECOND(Таблица7[[#This Row],[Время на сайте]])</f>
        <v>862</v>
      </c>
      <c r="H4" s="68">
        <f>(HOUR(Таблица7[[#This Row],[Время на сайте]])*3600+MINUTE(Таблица7[[#This Row],[Время на сайте]])*60+SECOND(Таблица7[[#This Row],[Время на сайте]]))/60</f>
        <v>14.366666666666667</v>
      </c>
    </row>
    <row r="5" spans="1:8">
      <c r="A5" s="3" t="s">
        <v>79</v>
      </c>
      <c r="B5" s="4">
        <v>46</v>
      </c>
      <c r="C5" s="4">
        <v>21</v>
      </c>
      <c r="D5" s="5">
        <v>0.2608695652173913</v>
      </c>
      <c r="E5" s="6">
        <v>7.5434782608695654</v>
      </c>
      <c r="F5" s="57" t="s">
        <v>80</v>
      </c>
      <c r="G5" s="68">
        <f>HOUR(Таблица7[[#This Row],[Время на сайте]])*3600+MINUTE(Таблица7[[#This Row],[Время на сайте]])*60+SECOND(Таблица7[[#This Row],[Время на сайте]])</f>
        <v>673</v>
      </c>
      <c r="H5" s="68">
        <f>(HOUR(Таблица7[[#This Row],[Время на сайте]])*3600+MINUTE(Таблица7[[#This Row],[Время на сайте]])*60+SECOND(Таблица7[[#This Row],[Время на сайте]]))/60</f>
        <v>11.216666666666667</v>
      </c>
    </row>
    <row r="6" spans="1:8">
      <c r="A6" s="3" t="s">
        <v>81</v>
      </c>
      <c r="B6" s="4">
        <v>52</v>
      </c>
      <c r="C6" s="4">
        <v>26</v>
      </c>
      <c r="D6" s="5">
        <v>0.32692307692307693</v>
      </c>
      <c r="E6" s="6">
        <v>5.9807692307692308</v>
      </c>
      <c r="F6" s="57" t="s">
        <v>82</v>
      </c>
      <c r="G6" s="68">
        <f>HOUR(Таблица7[[#This Row],[Время на сайте]])*3600+MINUTE(Таблица7[[#This Row],[Время на сайте]])*60+SECOND(Таблица7[[#This Row],[Время на сайте]])</f>
        <v>719</v>
      </c>
      <c r="H6" s="68">
        <f>(HOUR(Таблица7[[#This Row],[Время на сайте]])*3600+MINUTE(Таблица7[[#This Row],[Время на сайте]])*60+SECOND(Таблица7[[#This Row],[Время на сайте]]))/60</f>
        <v>11.983333333333333</v>
      </c>
    </row>
    <row r="7" spans="1:8">
      <c r="A7" s="3" t="s">
        <v>83</v>
      </c>
      <c r="B7" s="4">
        <v>67</v>
      </c>
      <c r="C7" s="4">
        <v>26</v>
      </c>
      <c r="D7" s="5">
        <v>0.40298507462686567</v>
      </c>
      <c r="E7" s="6">
        <v>5.3582089552238807</v>
      </c>
      <c r="F7" s="57" t="s">
        <v>84</v>
      </c>
      <c r="G7" s="68">
        <f>HOUR(Таблица7[[#This Row],[Время на сайте]])*3600+MINUTE(Таблица7[[#This Row],[Время на сайте]])*60+SECOND(Таблица7[[#This Row],[Время на сайте]])</f>
        <v>780</v>
      </c>
      <c r="H7" s="68">
        <f>(HOUR(Таблица7[[#This Row],[Время на сайте]])*3600+MINUTE(Таблица7[[#This Row],[Время на сайте]])*60+SECOND(Таблица7[[#This Row],[Время на сайте]]))/60</f>
        <v>13</v>
      </c>
    </row>
    <row r="8" spans="1:8">
      <c r="A8" s="3" t="s">
        <v>85</v>
      </c>
      <c r="B8" s="4">
        <v>65</v>
      </c>
      <c r="C8" s="4">
        <v>24</v>
      </c>
      <c r="D8" s="5">
        <v>0.23076923076923075</v>
      </c>
      <c r="E8" s="6">
        <v>10.476923076923077</v>
      </c>
      <c r="F8" s="57" t="s">
        <v>86</v>
      </c>
      <c r="G8" s="68">
        <f>HOUR(Таблица7[[#This Row],[Время на сайте]])*3600+MINUTE(Таблица7[[#This Row],[Время на сайте]])*60+SECOND(Таблица7[[#This Row],[Время на сайте]])</f>
        <v>931</v>
      </c>
      <c r="H8" s="68">
        <f>(HOUR(Таблица7[[#This Row],[Время на сайте]])*3600+MINUTE(Таблица7[[#This Row],[Время на сайте]])*60+SECOND(Таблица7[[#This Row],[Время на сайте]]))/60</f>
        <v>15.516666666666667</v>
      </c>
    </row>
    <row r="9" spans="1:8">
      <c r="A9" s="3" t="s">
        <v>87</v>
      </c>
      <c r="B9" s="4">
        <v>23</v>
      </c>
      <c r="C9" s="4">
        <v>14</v>
      </c>
      <c r="D9" s="5">
        <v>0.2608695652173913</v>
      </c>
      <c r="E9" s="6">
        <v>6.1739130434782608</v>
      </c>
      <c r="F9" s="57" t="s">
        <v>88</v>
      </c>
      <c r="G9" s="68">
        <f>HOUR(Таблица7[[#This Row],[Время на сайте]])*3600+MINUTE(Таблица7[[#This Row],[Время на сайте]])*60+SECOND(Таблица7[[#This Row],[Время на сайте]])</f>
        <v>559</v>
      </c>
      <c r="H9" s="68">
        <f>(HOUR(Таблица7[[#This Row],[Время на сайте]])*3600+MINUTE(Таблица7[[#This Row],[Время на сайте]])*60+SECOND(Таблица7[[#This Row],[Время на сайте]]))/60</f>
        <v>9.3166666666666664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E4" workbookViewId="0">
      <selection activeCell="O14" sqref="O14"/>
    </sheetView>
  </sheetViews>
  <sheetFormatPr defaultRowHeight="15"/>
  <cols>
    <col min="1" max="1" width="25.5703125" customWidth="1"/>
    <col min="2" max="2" width="31.28515625" bestFit="1" customWidth="1"/>
    <col min="3" max="3" width="42.140625" bestFit="1" customWidth="1"/>
    <col min="4" max="4" width="25.5703125" customWidth="1"/>
    <col min="5" max="5" width="42.140625" bestFit="1" customWidth="1"/>
    <col min="6" max="6" width="11" customWidth="1"/>
    <col min="7" max="7" width="15.42578125" customWidth="1"/>
    <col min="8" max="8" width="10.85546875" customWidth="1"/>
    <col min="9" max="9" width="23.5703125" customWidth="1"/>
    <col min="10" max="10" width="19.42578125" customWidth="1"/>
    <col min="11" max="11" width="25.140625" bestFit="1" customWidth="1"/>
    <col min="12" max="12" width="20.42578125" bestFit="1" customWidth="1"/>
    <col min="13" max="13" width="29.5703125" bestFit="1" customWidth="1"/>
    <col min="14" max="14" width="33.7109375" bestFit="1" customWidth="1"/>
  </cols>
  <sheetData>
    <row r="1" spans="1:14">
      <c r="A1" s="49" t="s">
        <v>89</v>
      </c>
      <c r="B1" s="49" t="s">
        <v>90</v>
      </c>
      <c r="C1" s="49" t="s">
        <v>91</v>
      </c>
      <c r="D1" s="49" t="s">
        <v>92</v>
      </c>
      <c r="E1" s="49" t="s">
        <v>93</v>
      </c>
      <c r="F1" s="49" t="s">
        <v>68</v>
      </c>
      <c r="G1" s="49" t="s">
        <v>69</v>
      </c>
      <c r="H1" s="49" t="s">
        <v>70</v>
      </c>
      <c r="I1" s="49" t="s">
        <v>71</v>
      </c>
      <c r="J1" s="49" t="s">
        <v>72</v>
      </c>
      <c r="K1" s="69" t="s">
        <v>435</v>
      </c>
      <c r="L1" s="69" t="s">
        <v>436</v>
      </c>
      <c r="M1" s="69" t="s">
        <v>437</v>
      </c>
      <c r="N1" s="69" t="s">
        <v>450</v>
      </c>
    </row>
    <row r="2" spans="1:14">
      <c r="A2" s="55" t="s">
        <v>73</v>
      </c>
      <c r="B2" s="55" t="s">
        <v>94</v>
      </c>
      <c r="C2" s="55" t="s">
        <v>94</v>
      </c>
      <c r="D2" s="55" t="s">
        <v>94</v>
      </c>
      <c r="E2" s="55" t="s">
        <v>94</v>
      </c>
      <c r="F2" s="51">
        <v>298</v>
      </c>
      <c r="G2" s="51">
        <v>109</v>
      </c>
      <c r="H2" s="44">
        <v>0.29865771812080538</v>
      </c>
      <c r="I2" s="45">
        <v>7.1006711409395971</v>
      </c>
      <c r="J2" s="46" t="s">
        <v>74</v>
      </c>
      <c r="K2" t="str">
        <f>SUBSTITUTE(Таблица2[[#This Row],[Страница входа]],"https://кордо.рф/","")</f>
        <v/>
      </c>
      <c r="L2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2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2" s="59"/>
    </row>
    <row r="3" spans="1:14">
      <c r="A3" s="55" t="s">
        <v>95</v>
      </c>
      <c r="B3" s="55" t="s">
        <v>96</v>
      </c>
      <c r="C3" s="55" t="s">
        <v>96</v>
      </c>
      <c r="D3" s="55" t="s">
        <v>96</v>
      </c>
      <c r="E3" s="55" t="s">
        <v>95</v>
      </c>
      <c r="F3" s="51">
        <v>170</v>
      </c>
      <c r="G3" s="51">
        <v>61</v>
      </c>
      <c r="H3" s="44">
        <v>0.30588235294117649</v>
      </c>
      <c r="I3" s="45">
        <v>7.3941176470588239</v>
      </c>
      <c r="J3" s="46" t="s">
        <v>97</v>
      </c>
      <c r="K3" t="str">
        <f>SUBSTITUTE(Таблица2[[#This Row],[Страница входа]],"https://кордо.рф/","")</f>
        <v/>
      </c>
      <c r="L3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Главная</v>
      </c>
      <c r="M3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3" s="59"/>
    </row>
    <row r="4" spans="1:14">
      <c r="A4" s="55" t="s">
        <v>95</v>
      </c>
      <c r="B4" s="55" t="s">
        <v>98</v>
      </c>
      <c r="C4" s="55" t="s">
        <v>96</v>
      </c>
      <c r="D4" s="55" t="s">
        <v>96</v>
      </c>
      <c r="E4" s="55" t="s">
        <v>98</v>
      </c>
      <c r="F4" s="51">
        <v>20</v>
      </c>
      <c r="G4" s="51">
        <v>12</v>
      </c>
      <c r="H4" s="44">
        <v>0.3</v>
      </c>
      <c r="I4" s="45">
        <v>5.85</v>
      </c>
      <c r="J4" s="46" t="s">
        <v>99</v>
      </c>
      <c r="K4" t="str">
        <f>SUBSTITUTE(Таблица2[[#This Row],[Страница входа]],"https://кордо.рф/","")</f>
        <v>katalog</v>
      </c>
      <c r="L4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Каталог</v>
      </c>
      <c r="M4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4" s="68"/>
    </row>
    <row r="5" spans="1:14">
      <c r="A5" s="55" t="s">
        <v>95</v>
      </c>
      <c r="B5" s="55" t="s">
        <v>100</v>
      </c>
      <c r="C5" s="55" t="s">
        <v>96</v>
      </c>
      <c r="D5" s="55" t="s">
        <v>96</v>
      </c>
      <c r="E5" s="55" t="s">
        <v>100</v>
      </c>
      <c r="F5" s="51">
        <v>20</v>
      </c>
      <c r="G5" s="51">
        <v>7</v>
      </c>
      <c r="H5" s="44">
        <v>0.25</v>
      </c>
      <c r="I5" s="45">
        <v>8.0500000000000007</v>
      </c>
      <c r="J5" s="46" t="s">
        <v>101</v>
      </c>
      <c r="K5" t="str">
        <f>SUBSTITUTE(Таблица2[[#This Row],[Страница входа]],"https://кордо.рф/","")</f>
        <v>katalog.php</v>
      </c>
      <c r="L5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Каталог</v>
      </c>
      <c r="M5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5" s="68"/>
    </row>
    <row r="6" spans="1:14">
      <c r="A6" s="55" t="s">
        <v>95</v>
      </c>
      <c r="B6" s="55" t="s">
        <v>102</v>
      </c>
      <c r="C6" s="55" t="s">
        <v>96</v>
      </c>
      <c r="D6" s="55" t="s">
        <v>96</v>
      </c>
      <c r="E6" s="55" t="s">
        <v>102</v>
      </c>
      <c r="F6" s="51">
        <v>10</v>
      </c>
      <c r="G6" s="51">
        <v>6</v>
      </c>
      <c r="H6" s="44">
        <v>0.3</v>
      </c>
      <c r="I6" s="45">
        <v>3.5</v>
      </c>
      <c r="J6" s="46" t="s">
        <v>103</v>
      </c>
      <c r="K6" t="str">
        <f>SUBSTITUTE(Таблица2[[#This Row],[Страница входа]],"https://кордо.рф/","")</f>
        <v>o-nas</v>
      </c>
      <c r="L6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6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6" s="68"/>
    </row>
    <row r="7" spans="1:14">
      <c r="A7" s="55" t="s">
        <v>95</v>
      </c>
      <c r="B7" s="55" t="s">
        <v>104</v>
      </c>
      <c r="C7" s="55" t="s">
        <v>105</v>
      </c>
      <c r="D7" s="55" t="s">
        <v>96</v>
      </c>
      <c r="E7" s="55" t="s">
        <v>105</v>
      </c>
      <c r="F7" s="51">
        <v>9</v>
      </c>
      <c r="G7" s="51">
        <v>4</v>
      </c>
      <c r="H7" s="44">
        <v>0.1111111111111111</v>
      </c>
      <c r="I7" s="45">
        <v>25.555555555555557</v>
      </c>
      <c r="J7" s="46" t="s">
        <v>106</v>
      </c>
      <c r="K7" t="str">
        <f>SUBSTITUTE(Таблица2[[#This Row],[Страница входа]],"https://кордо.рф/","")</f>
        <v>tovar/MA4000cix</v>
      </c>
      <c r="L7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7" s="68" t="str">
        <f>IFERROR(
    SUBSTITUTE(
        MID(Таблица2[[#This Row],[Страница входа]],SEARCH("/tovar/",Таблица2[[#This Row],[Страница входа]])+7,100),
        "/",""
    ),
"не товар")</f>
        <v>MA4000cix</v>
      </c>
      <c r="N7" s="68"/>
    </row>
    <row r="8" spans="1:14">
      <c r="A8" s="55" t="s">
        <v>95</v>
      </c>
      <c r="B8" s="55" t="s">
        <v>107</v>
      </c>
      <c r="C8" s="55" t="s">
        <v>96</v>
      </c>
      <c r="D8" s="55" t="s">
        <v>96</v>
      </c>
      <c r="E8" s="55" t="s">
        <v>107</v>
      </c>
      <c r="F8" s="51">
        <v>4</v>
      </c>
      <c r="G8" s="51">
        <v>2</v>
      </c>
      <c r="H8" s="44">
        <v>0.25</v>
      </c>
      <c r="I8" s="45">
        <v>3.25</v>
      </c>
      <c r="J8" s="46" t="s">
        <v>108</v>
      </c>
      <c r="K8" t="str">
        <f>SUBSTITUTE(Таблица2[[#This Row],[Страница входа]],"https://кордо.рф/","")</f>
        <v>?_ym_debug=1</v>
      </c>
      <c r="L8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8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8" s="68"/>
    </row>
    <row r="9" spans="1:14">
      <c r="A9" s="55" t="s">
        <v>95</v>
      </c>
      <c r="B9" s="55" t="s">
        <v>109</v>
      </c>
      <c r="C9" s="55" t="s">
        <v>96</v>
      </c>
      <c r="D9" s="55" t="s">
        <v>96</v>
      </c>
      <c r="E9" s="55" t="s">
        <v>109</v>
      </c>
      <c r="F9" s="51">
        <v>4</v>
      </c>
      <c r="G9" s="51">
        <v>4</v>
      </c>
      <c r="H9" s="44">
        <v>0.75</v>
      </c>
      <c r="I9" s="45">
        <v>4</v>
      </c>
      <c r="J9" s="46" t="s">
        <v>110</v>
      </c>
      <c r="K9" t="str">
        <f>SUBSTITUTE(Таблица2[[#This Row],[Страница входа]],"https://кордо.рф/","")</f>
        <v>test-katalog</v>
      </c>
      <c r="L9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9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9" s="68"/>
    </row>
    <row r="10" spans="1:14">
      <c r="A10" s="55" t="s">
        <v>95</v>
      </c>
      <c r="B10" s="55" t="s">
        <v>104</v>
      </c>
      <c r="C10" s="55" t="s">
        <v>111</v>
      </c>
      <c r="D10" s="55" t="s">
        <v>96</v>
      </c>
      <c r="E10" s="55" t="s">
        <v>111</v>
      </c>
      <c r="F10" s="51">
        <v>4</v>
      </c>
      <c r="G10" s="51">
        <v>4</v>
      </c>
      <c r="H10" s="44">
        <v>0</v>
      </c>
      <c r="I10" s="45">
        <v>4.5</v>
      </c>
      <c r="J10" s="46" t="s">
        <v>112</v>
      </c>
      <c r="K10" t="str">
        <f>SUBSTITUTE(Таблица2[[#This Row],[Страница входа]],"https://кордо.рф/","")</f>
        <v>tovar/MA4000fx</v>
      </c>
      <c r="L10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10" s="68" t="str">
        <f>IFERROR(
    SUBSTITUTE(
        MID(Таблица2[[#This Row],[Страница входа]],SEARCH("/tovar/",Таблица2[[#This Row],[Страница входа]])+7,100),
        "/",""
    ),
"не товар")</f>
        <v>MA4000fx</v>
      </c>
      <c r="N10" s="68" t="s">
        <v>451</v>
      </c>
    </row>
    <row r="11" spans="1:14">
      <c r="A11" s="55" t="s">
        <v>95</v>
      </c>
      <c r="B11" s="55" t="s">
        <v>104</v>
      </c>
      <c r="C11" s="55" t="s">
        <v>113</v>
      </c>
      <c r="D11" s="55" t="s">
        <v>96</v>
      </c>
      <c r="E11" s="55" t="s">
        <v>113</v>
      </c>
      <c r="F11" s="51">
        <v>3</v>
      </c>
      <c r="G11" s="51">
        <v>3</v>
      </c>
      <c r="H11" s="44">
        <v>0.66666666666666652</v>
      </c>
      <c r="I11" s="45">
        <v>1</v>
      </c>
      <c r="J11" s="46" t="s">
        <v>114</v>
      </c>
      <c r="K11" t="str">
        <f>SUBSTITUTE(Таблица2[[#This Row],[Страница входа]],"https://кордо.рф/","")</f>
        <v>tovar/TK-8455K</v>
      </c>
      <c r="L11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11" s="68" t="str">
        <f>IFERROR(
    SUBSTITUTE(
        MID(Таблица2[[#This Row],[Страница входа]],SEARCH("/tovar/",Таблица2[[#This Row],[Страница входа]])+7,100),
        "/",""
    ),
"не товар")</f>
        <v>TK-8455K</v>
      </c>
      <c r="N11" s="68"/>
    </row>
    <row r="12" spans="1:14">
      <c r="A12" s="55" t="s">
        <v>95</v>
      </c>
      <c r="B12" s="55" t="s">
        <v>115</v>
      </c>
      <c r="C12" s="55" t="s">
        <v>96</v>
      </c>
      <c r="D12" s="55" t="s">
        <v>96</v>
      </c>
      <c r="E12" s="55" t="s">
        <v>115</v>
      </c>
      <c r="F12" s="51">
        <v>2</v>
      </c>
      <c r="G12" s="51">
        <v>2</v>
      </c>
      <c r="H12" s="44">
        <v>1</v>
      </c>
      <c r="I12" s="45">
        <v>1</v>
      </c>
      <c r="J12" s="46" t="s">
        <v>116</v>
      </c>
      <c r="K12" t="str">
        <f>SUBSTITUTE(Таблица2[[#This Row],[Страница входа]],"https://кордо.рф/","")</f>
        <v>cmd_sco</v>
      </c>
      <c r="L12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12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12" s="68"/>
    </row>
    <row r="13" spans="1:14">
      <c r="A13" s="55" t="s">
        <v>95</v>
      </c>
      <c r="B13" s="55" t="s">
        <v>117</v>
      </c>
      <c r="C13" s="55" t="s">
        <v>96</v>
      </c>
      <c r="D13" s="55" t="s">
        <v>96</v>
      </c>
      <c r="E13" s="55" t="s">
        <v>117</v>
      </c>
      <c r="F13" s="51">
        <v>2</v>
      </c>
      <c r="G13" s="51">
        <v>1</v>
      </c>
      <c r="H13" s="44">
        <v>0</v>
      </c>
      <c r="I13" s="45">
        <v>20.5</v>
      </c>
      <c r="J13" s="46" t="s">
        <v>118</v>
      </c>
      <c r="K13" t="str">
        <f>SUBSTITUTE(Таблица2[[#This Row],[Страница входа]],"https://кордо.рф/","")</f>
        <v>korzina</v>
      </c>
      <c r="L13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13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13" s="68"/>
    </row>
    <row r="14" spans="1:14">
      <c r="A14" s="55" t="s">
        <v>95</v>
      </c>
      <c r="B14" s="55" t="s">
        <v>104</v>
      </c>
      <c r="C14" s="55" t="s">
        <v>119</v>
      </c>
      <c r="D14" s="55" t="s">
        <v>96</v>
      </c>
      <c r="E14" s="55" t="s">
        <v>119</v>
      </c>
      <c r="F14" s="51">
        <v>2</v>
      </c>
      <c r="G14" s="51">
        <v>1</v>
      </c>
      <c r="H14" s="44">
        <v>0.5</v>
      </c>
      <c r="I14" s="45">
        <v>3.5</v>
      </c>
      <c r="J14" s="46" t="s">
        <v>120</v>
      </c>
      <c r="K14" t="str">
        <f>SUBSTITUTE(Таблица2[[#This Row],[Страница входа]],"https://кордо.рф/","")</f>
        <v>tovar/960-001227</v>
      </c>
      <c r="L14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14" s="68" t="str">
        <f>IFERROR(
    SUBSTITUTE(
        MID(Таблица2[[#This Row],[Страница входа]],SEARCH("/tovar/",Таблица2[[#This Row],[Страница входа]])+7,100),
        "/",""
    ),
"не товар")</f>
        <v>960-001227</v>
      </c>
      <c r="N14" s="68"/>
    </row>
    <row r="15" spans="1:14">
      <c r="A15" s="55" t="s">
        <v>95</v>
      </c>
      <c r="B15" s="55" t="s">
        <v>104</v>
      </c>
      <c r="C15" s="55" t="s">
        <v>121</v>
      </c>
      <c r="D15" s="55" t="s">
        <v>96</v>
      </c>
      <c r="E15" s="55" t="s">
        <v>121</v>
      </c>
      <c r="F15" s="51">
        <v>2</v>
      </c>
      <c r="G15" s="51">
        <v>2</v>
      </c>
      <c r="H15" s="44">
        <v>0.5</v>
      </c>
      <c r="I15" s="45">
        <v>4.5</v>
      </c>
      <c r="J15" s="46" t="s">
        <v>122</v>
      </c>
      <c r="K15" t="str">
        <f>SUBSTITUTE(Таблица2[[#This Row],[Страница входа]],"https://кордо.рф/","")</f>
        <v>tovar/TK5135Y</v>
      </c>
      <c r="L15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15" s="68" t="str">
        <f>IFERROR(
    SUBSTITUTE(
        MID(Таблица2[[#This Row],[Страница входа]],SEARCH("/tovar/",Таблица2[[#This Row],[Страница входа]])+7,100),
        "/",""
    ),
"не товар")</f>
        <v>TK5135Y</v>
      </c>
      <c r="N15" s="68"/>
    </row>
    <row r="16" spans="1:14">
      <c r="A16" s="55" t="s">
        <v>95</v>
      </c>
      <c r="B16" s="55" t="s">
        <v>104</v>
      </c>
      <c r="C16" s="55" t="s">
        <v>123</v>
      </c>
      <c r="D16" s="55" t="s">
        <v>96</v>
      </c>
      <c r="E16" s="55" t="s">
        <v>123</v>
      </c>
      <c r="F16" s="51">
        <v>2</v>
      </c>
      <c r="G16" s="51">
        <v>2</v>
      </c>
      <c r="H16" s="44">
        <v>0</v>
      </c>
      <c r="I16" s="45">
        <v>5.5</v>
      </c>
      <c r="J16" s="46" t="s">
        <v>124</v>
      </c>
      <c r="K16" t="str">
        <f>SUBSTITUTE(Таблица2[[#This Row],[Страница входа]],"https://кордо.рф/","")</f>
        <v>tovar/TK5205C</v>
      </c>
      <c r="L16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16" s="68" t="str">
        <f>IFERROR(
    SUBSTITUTE(
        MID(Таблица2[[#This Row],[Страница входа]],SEARCH("/tovar/",Таблица2[[#This Row],[Страница входа]])+7,100),
        "/",""
    ),
"не товар")</f>
        <v>TK5205C</v>
      </c>
      <c r="N16" s="68"/>
    </row>
    <row r="17" spans="1:14">
      <c r="A17" s="55" t="s">
        <v>95</v>
      </c>
      <c r="B17" s="55" t="s">
        <v>104</v>
      </c>
      <c r="C17" s="55" t="s">
        <v>125</v>
      </c>
      <c r="D17" s="55" t="s">
        <v>96</v>
      </c>
      <c r="E17" s="55" t="s">
        <v>125</v>
      </c>
      <c r="F17" s="51">
        <v>2</v>
      </c>
      <c r="G17" s="51">
        <v>1</v>
      </c>
      <c r="H17" s="44">
        <v>0</v>
      </c>
      <c r="I17" s="45">
        <v>1</v>
      </c>
      <c r="J17" s="46" t="s">
        <v>126</v>
      </c>
      <c r="K17" t="str">
        <f>SUBSTITUTE(Таблица2[[#This Row],[Страница входа]],"https://кордо.рф/","")</f>
        <v>tovar/TR-8550</v>
      </c>
      <c r="L17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17" s="68" t="str">
        <f>IFERROR(
    SUBSTITUTE(
        MID(Таблица2[[#This Row],[Страница входа]],SEARCH("/tovar/",Таблица2[[#This Row],[Страница входа]])+7,100),
        "/",""
    ),
"не товар")</f>
        <v>TR-8550</v>
      </c>
      <c r="N17" s="68"/>
    </row>
    <row r="18" spans="1:14">
      <c r="A18" s="55" t="s">
        <v>95</v>
      </c>
      <c r="B18" s="55" t="s">
        <v>104</v>
      </c>
      <c r="C18" s="55" t="s">
        <v>127</v>
      </c>
      <c r="D18" s="55" t="s">
        <v>96</v>
      </c>
      <c r="E18" s="55" t="s">
        <v>127</v>
      </c>
      <c r="F18" s="51">
        <v>2</v>
      </c>
      <c r="G18" s="51">
        <v>2</v>
      </c>
      <c r="H18" s="44">
        <v>0</v>
      </c>
      <c r="I18" s="45">
        <v>1.5</v>
      </c>
      <c r="J18" s="46" t="s">
        <v>128</v>
      </c>
      <c r="K18" t="str">
        <f>SUBSTITUTE(Таблица2[[#This Row],[Страница входа]],"https://кордо.рф/","")</f>
        <v>tovar/TR3000</v>
      </c>
      <c r="L18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18" s="68" t="str">
        <f>IFERROR(
    SUBSTITUTE(
        MID(Таблица2[[#This Row],[Страница входа]],SEARCH("/tovar/",Таблица2[[#This Row],[Страница входа]])+7,100),
        "/",""
    ),
"не товар")</f>
        <v>TR3000</v>
      </c>
      <c r="N18" s="68"/>
    </row>
    <row r="19" spans="1:14">
      <c r="A19" s="55" t="s">
        <v>95</v>
      </c>
      <c r="B19" s="55" t="s">
        <v>129</v>
      </c>
      <c r="C19" s="55" t="s">
        <v>130</v>
      </c>
      <c r="D19" s="55" t="s">
        <v>96</v>
      </c>
      <c r="E19" s="55" t="s">
        <v>130</v>
      </c>
      <c r="F19" s="51">
        <v>1</v>
      </c>
      <c r="G19" s="51">
        <v>1</v>
      </c>
      <c r="H19" s="44">
        <v>0</v>
      </c>
      <c r="I19" s="45">
        <v>3</v>
      </c>
      <c r="J19" s="46" t="s">
        <v>131</v>
      </c>
      <c r="K19" t="str">
        <f>SUBSTITUTE(Таблица2[[#This Row],[Страница входа]],"https://кордо.рф/","")</f>
        <v>katalog.php?_ym_debug=1</v>
      </c>
      <c r="L19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Каталог</v>
      </c>
      <c r="M19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19" s="68"/>
    </row>
    <row r="20" spans="1:14">
      <c r="A20" s="55" t="s">
        <v>95</v>
      </c>
      <c r="B20" s="55" t="s">
        <v>132</v>
      </c>
      <c r="C20" s="55" t="s">
        <v>96</v>
      </c>
      <c r="D20" s="55" t="s">
        <v>96</v>
      </c>
      <c r="E20" s="55" t="s">
        <v>132</v>
      </c>
      <c r="F20" s="51">
        <v>1</v>
      </c>
      <c r="G20" s="51">
        <v>1</v>
      </c>
      <c r="H20" s="44">
        <v>0</v>
      </c>
      <c r="I20" s="45">
        <v>2</v>
      </c>
      <c r="J20" s="46" t="s">
        <v>126</v>
      </c>
      <c r="K20" t="str">
        <f>SUBSTITUTE(Таблица2[[#This Row],[Страница входа]],"https://кордо.рф/","")</f>
        <v>korzina.php</v>
      </c>
      <c r="L20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20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20" s="68"/>
    </row>
    <row r="21" spans="1:14">
      <c r="A21" s="55" t="s">
        <v>95</v>
      </c>
      <c r="B21" s="55" t="s">
        <v>133</v>
      </c>
      <c r="C21" s="55" t="s">
        <v>96</v>
      </c>
      <c r="D21" s="55" t="s">
        <v>96</v>
      </c>
      <c r="E21" s="55" t="s">
        <v>133</v>
      </c>
      <c r="F21" s="51">
        <v>1</v>
      </c>
      <c r="G21" s="51">
        <v>1</v>
      </c>
      <c r="H21" s="44">
        <v>0</v>
      </c>
      <c r="I21" s="45">
        <v>2</v>
      </c>
      <c r="J21" s="46" t="s">
        <v>134</v>
      </c>
      <c r="K21" t="str">
        <f>SUBSTITUTE(Таблица2[[#This Row],[Страница входа]],"https://кордо.рф/","")</f>
        <v>sitemap</v>
      </c>
      <c r="L21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21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21" s="68"/>
    </row>
    <row r="22" spans="1:14">
      <c r="A22" s="55" t="s">
        <v>95</v>
      </c>
      <c r="B22" s="55" t="s">
        <v>135</v>
      </c>
      <c r="C22" s="55" t="s">
        <v>96</v>
      </c>
      <c r="D22" s="55" t="s">
        <v>96</v>
      </c>
      <c r="E22" s="55" t="s">
        <v>135</v>
      </c>
      <c r="F22" s="51">
        <v>1</v>
      </c>
      <c r="G22" s="51">
        <v>1</v>
      </c>
      <c r="H22" s="44">
        <v>0</v>
      </c>
      <c r="I22" s="45">
        <v>5</v>
      </c>
      <c r="J22" s="46" t="s">
        <v>136</v>
      </c>
      <c r="K22" t="str">
        <f>SUBSTITUTE(Таблица2[[#This Row],[Страница входа]],"https://кордо.рф/","")</f>
        <v>sitemap.xml</v>
      </c>
      <c r="L22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22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22" s="68"/>
    </row>
    <row r="23" spans="1:14">
      <c r="A23" s="55" t="s">
        <v>95</v>
      </c>
      <c r="B23" s="55" t="s">
        <v>137</v>
      </c>
      <c r="C23" s="55" t="s">
        <v>138</v>
      </c>
      <c r="D23" s="55" t="s">
        <v>96</v>
      </c>
      <c r="E23" s="55" t="s">
        <v>138</v>
      </c>
      <c r="F23" s="51">
        <v>1</v>
      </c>
      <c r="G23" s="51">
        <v>1</v>
      </c>
      <c r="H23" s="44">
        <v>0</v>
      </c>
      <c r="I23" s="45">
        <v>88</v>
      </c>
      <c r="J23" s="46" t="s">
        <v>139</v>
      </c>
      <c r="K23" t="str">
        <f>SUBSTITUTE(Таблица2[[#This Row],[Страница входа]],"https://кордо.рф/","")</f>
        <v>tovar.php?id=MA4000cix</v>
      </c>
      <c r="L23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23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23" s="68"/>
    </row>
    <row r="24" spans="1:14">
      <c r="A24" s="55" t="s">
        <v>95</v>
      </c>
      <c r="B24" s="55" t="s">
        <v>137</v>
      </c>
      <c r="C24" s="55" t="s">
        <v>140</v>
      </c>
      <c r="D24" s="55" t="s">
        <v>96</v>
      </c>
      <c r="E24" s="55" t="s">
        <v>140</v>
      </c>
      <c r="F24" s="51">
        <v>1</v>
      </c>
      <c r="G24" s="51">
        <v>1</v>
      </c>
      <c r="H24" s="44">
        <v>0</v>
      </c>
      <c r="I24" s="45">
        <v>34</v>
      </c>
      <c r="J24" s="46" t="s">
        <v>141</v>
      </c>
      <c r="K24" t="str">
        <f>SUBSTITUTE(Таблица2[[#This Row],[Страница входа]],"https://кордо.рф/","")</f>
        <v>tovar.php?id=TK5205C</v>
      </c>
      <c r="L24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Прочее</v>
      </c>
      <c r="M24" s="68" t="str">
        <f>IFERROR(
    SUBSTITUTE(
        MID(Таблица2[[#This Row],[Страница входа]],SEARCH("/tovar/",Таблица2[[#This Row],[Страница входа]])+7,100),
        "/",""
    ),
"не товар")</f>
        <v>не товар</v>
      </c>
      <c r="N24" s="68"/>
    </row>
    <row r="25" spans="1:14">
      <c r="A25" s="55" t="s">
        <v>95</v>
      </c>
      <c r="B25" s="55" t="s">
        <v>104</v>
      </c>
      <c r="C25" s="55" t="s">
        <v>142</v>
      </c>
      <c r="D25" s="55" t="s">
        <v>96</v>
      </c>
      <c r="E25" s="55" t="s">
        <v>142</v>
      </c>
      <c r="F25" s="51">
        <v>1</v>
      </c>
      <c r="G25" s="51">
        <v>1</v>
      </c>
      <c r="H25" s="44">
        <v>0</v>
      </c>
      <c r="I25" s="45">
        <v>2</v>
      </c>
      <c r="J25" s="46" t="s">
        <v>143</v>
      </c>
      <c r="K25" t="str">
        <f>SUBSTITUTE(Таблица2[[#This Row],[Страница входа]],"https://кордо.рф/","")</f>
        <v>tovar//W9015MC</v>
      </c>
      <c r="L25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25" s="68" t="str">
        <f>IFERROR(
    SUBSTITUTE(
        MID(Таблица2[[#This Row],[Страница входа]],SEARCH("/tovar/",Таблица2[[#This Row],[Страница входа]])+7,100),
        "/",""
    ),
"не товар")</f>
        <v>W9015MC</v>
      </c>
      <c r="N25" s="68"/>
    </row>
    <row r="26" spans="1:14">
      <c r="A26" s="55" t="s">
        <v>95</v>
      </c>
      <c r="B26" s="55" t="s">
        <v>104</v>
      </c>
      <c r="C26" s="55" t="s">
        <v>144</v>
      </c>
      <c r="D26" s="55" t="s">
        <v>96</v>
      </c>
      <c r="E26" s="55" t="s">
        <v>144</v>
      </c>
      <c r="F26" s="51">
        <v>1</v>
      </c>
      <c r="G26" s="51">
        <v>1</v>
      </c>
      <c r="H26" s="44">
        <v>0</v>
      </c>
      <c r="I26" s="45">
        <v>7</v>
      </c>
      <c r="J26" s="46" t="s">
        <v>145</v>
      </c>
      <c r="K26" t="str">
        <f>SUBSTITUTE(Таблица2[[#This Row],[Страница входа]],"https://кордо.рф/","")</f>
        <v>tovar/006R01646</v>
      </c>
      <c r="L26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26" s="68" t="str">
        <f>IFERROR(
    SUBSTITUTE(
        MID(Таблица2[[#This Row],[Страница входа]],SEARCH("/tovar/",Таблица2[[#This Row],[Страница входа]])+7,100),
        "/",""
    ),
"не товар")</f>
        <v>006R01646</v>
      </c>
      <c r="N26" s="68"/>
    </row>
    <row r="27" spans="1:14">
      <c r="A27" s="55" t="s">
        <v>95</v>
      </c>
      <c r="B27" s="55" t="s">
        <v>104</v>
      </c>
      <c r="C27" s="55" t="s">
        <v>146</v>
      </c>
      <c r="D27" s="55" t="s">
        <v>96</v>
      </c>
      <c r="E27" s="55" t="s">
        <v>146</v>
      </c>
      <c r="F27" s="51">
        <v>1</v>
      </c>
      <c r="G27" s="51">
        <v>1</v>
      </c>
      <c r="H27" s="44">
        <v>0</v>
      </c>
      <c r="I27" s="45">
        <v>2</v>
      </c>
      <c r="J27" s="46" t="s">
        <v>147</v>
      </c>
      <c r="K27" t="str">
        <f>SUBSTITUTE(Таблица2[[#This Row],[Страница входа]],"https://кордо.рф/","")</f>
        <v>tovar/171033</v>
      </c>
      <c r="L27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27" s="68" t="str">
        <f>IFERROR(
    SUBSTITUTE(
        MID(Таблица2[[#This Row],[Страница входа]],SEARCH("/tovar/",Таблица2[[#This Row],[Страница входа]])+7,100),
        "/",""
    ),
"не товар")</f>
        <v>171033</v>
      </c>
      <c r="N27" s="68"/>
    </row>
    <row r="28" spans="1:14">
      <c r="A28" s="55" t="s">
        <v>95</v>
      </c>
      <c r="B28" s="55" t="s">
        <v>104</v>
      </c>
      <c r="C28" s="55" t="s">
        <v>148</v>
      </c>
      <c r="D28" s="55" t="s">
        <v>96</v>
      </c>
      <c r="E28" s="55" t="s">
        <v>148</v>
      </c>
      <c r="F28" s="51">
        <v>1</v>
      </c>
      <c r="G28" s="51">
        <v>1</v>
      </c>
      <c r="H28" s="44">
        <v>0</v>
      </c>
      <c r="I28" s="45">
        <v>1</v>
      </c>
      <c r="J28" s="46" t="s">
        <v>126</v>
      </c>
      <c r="K28" t="str">
        <f>SUBSTITUTE(Таблица2[[#This Row],[Страница входа]],"https://кордо.рф/","")</f>
        <v>tovar/180112506</v>
      </c>
      <c r="L28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28" s="68" t="str">
        <f>IFERROR(
    SUBSTITUTE(
        MID(Таблица2[[#This Row],[Страница входа]],SEARCH("/tovar/",Таблица2[[#This Row],[Страница входа]])+7,100),
        "/",""
    ),
"не товар")</f>
        <v>180112506</v>
      </c>
      <c r="N28" s="68"/>
    </row>
    <row r="29" spans="1:14">
      <c r="A29" s="55" t="s">
        <v>95</v>
      </c>
      <c r="B29" s="55" t="s">
        <v>104</v>
      </c>
      <c r="C29" s="55" t="s">
        <v>149</v>
      </c>
      <c r="D29" s="55" t="s">
        <v>96</v>
      </c>
      <c r="E29" s="55" t="s">
        <v>149</v>
      </c>
      <c r="F29" s="51">
        <v>1</v>
      </c>
      <c r="G29" s="51">
        <v>1</v>
      </c>
      <c r="H29" s="44">
        <v>0</v>
      </c>
      <c r="I29" s="45">
        <v>1</v>
      </c>
      <c r="J29" s="46" t="s">
        <v>126</v>
      </c>
      <c r="K29" t="str">
        <f>SUBSTITUTE(Таблица2[[#This Row],[Страница входа]],"https://кордо.рф/","")</f>
        <v>tovar/2741U</v>
      </c>
      <c r="L29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29" s="68" t="str">
        <f>IFERROR(
    SUBSTITUTE(
        MID(Таблица2[[#This Row],[Страница входа]],SEARCH("/tovar/",Таблица2[[#This Row],[Страница входа]])+7,100),
        "/",""
    ),
"не товар")</f>
        <v>2741U</v>
      </c>
      <c r="N29" s="68"/>
    </row>
    <row r="30" spans="1:14">
      <c r="A30" s="55" t="s">
        <v>95</v>
      </c>
      <c r="B30" s="55" t="s">
        <v>104</v>
      </c>
      <c r="C30" s="55" t="s">
        <v>150</v>
      </c>
      <c r="D30" s="55" t="s">
        <v>96</v>
      </c>
      <c r="E30" s="55" t="s">
        <v>150</v>
      </c>
      <c r="F30" s="51">
        <v>1</v>
      </c>
      <c r="G30" s="51">
        <v>1</v>
      </c>
      <c r="H30" s="44">
        <v>1</v>
      </c>
      <c r="I30" s="45">
        <v>1</v>
      </c>
      <c r="J30" s="46" t="s">
        <v>116</v>
      </c>
      <c r="K30" t="str">
        <f>SUBSTITUTE(Таблица2[[#This Row],[Страница входа]],"https://кордо.рф/","")</f>
        <v>tovar/302KT02150</v>
      </c>
      <c r="L30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0" s="68" t="str">
        <f>IFERROR(
    SUBSTITUTE(
        MID(Таблица2[[#This Row],[Страница входа]],SEARCH("/tovar/",Таблица2[[#This Row],[Страница входа]])+7,100),
        "/",""
    ),
"не товар")</f>
        <v>302KT02150</v>
      </c>
      <c r="N30" s="68"/>
    </row>
    <row r="31" spans="1:14">
      <c r="A31" s="55" t="s">
        <v>95</v>
      </c>
      <c r="B31" s="55" t="s">
        <v>104</v>
      </c>
      <c r="C31" s="55" t="s">
        <v>151</v>
      </c>
      <c r="D31" s="55" t="s">
        <v>96</v>
      </c>
      <c r="E31" s="55" t="s">
        <v>151</v>
      </c>
      <c r="F31" s="51">
        <v>1</v>
      </c>
      <c r="G31" s="51">
        <v>1</v>
      </c>
      <c r="H31" s="44">
        <v>1</v>
      </c>
      <c r="I31" s="45">
        <v>1</v>
      </c>
      <c r="J31" s="46" t="s">
        <v>116</v>
      </c>
      <c r="K31" t="str">
        <f>SUBSTITUTE(Таблица2[[#This Row],[Страница входа]],"https://кордо.рф/","")</f>
        <v>tovar/3275</v>
      </c>
      <c r="L31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1" s="68" t="str">
        <f>IFERROR(
    SUBSTITUTE(
        MID(Таблица2[[#This Row],[Страница входа]],SEARCH("/tovar/",Таблица2[[#This Row],[Страница входа]])+7,100),
        "/",""
    ),
"не товар")</f>
        <v>3275</v>
      </c>
      <c r="N31" s="68"/>
    </row>
    <row r="32" spans="1:14">
      <c r="A32" s="55" t="s">
        <v>95</v>
      </c>
      <c r="B32" s="55" t="s">
        <v>104</v>
      </c>
      <c r="C32" s="55" t="s">
        <v>152</v>
      </c>
      <c r="D32" s="55" t="s">
        <v>96</v>
      </c>
      <c r="E32" s="55" t="s">
        <v>152</v>
      </c>
      <c r="F32" s="51">
        <v>1</v>
      </c>
      <c r="G32" s="51">
        <v>1</v>
      </c>
      <c r="H32" s="44">
        <v>1</v>
      </c>
      <c r="I32" s="45">
        <v>1</v>
      </c>
      <c r="J32" s="46" t="s">
        <v>116</v>
      </c>
      <c r="K32" t="str">
        <f>SUBSTITUTE(Таблица2[[#This Row],[Страница входа]],"https://кордо.рф/","")</f>
        <v>tovar/3804</v>
      </c>
      <c r="L32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2" s="68" t="str">
        <f>IFERROR(
    SUBSTITUTE(
        MID(Таблица2[[#This Row],[Страница входа]],SEARCH("/tovar/",Таблица2[[#This Row],[Страница входа]])+7,100),
        "/",""
    ),
"не товар")</f>
        <v>3804</v>
      </c>
      <c r="N32" s="68"/>
    </row>
    <row r="33" spans="1:14">
      <c r="A33" s="55" t="s">
        <v>95</v>
      </c>
      <c r="B33" s="55" t="s">
        <v>104</v>
      </c>
      <c r="C33" s="55" t="s">
        <v>153</v>
      </c>
      <c r="D33" s="55" t="s">
        <v>96</v>
      </c>
      <c r="E33" s="55" t="s">
        <v>153</v>
      </c>
      <c r="F33" s="51">
        <v>1</v>
      </c>
      <c r="G33" s="51">
        <v>1</v>
      </c>
      <c r="H33" s="44">
        <v>1</v>
      </c>
      <c r="I33" s="45">
        <v>1</v>
      </c>
      <c r="J33" s="46" t="s">
        <v>116</v>
      </c>
      <c r="K33" t="str">
        <f>SUBSTITUTE(Таблица2[[#This Row],[Страница входа]],"https://кордо.рф/","")</f>
        <v>tovar/471044</v>
      </c>
      <c r="L33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3" s="68" t="str">
        <f>IFERROR(
    SUBSTITUTE(
        MID(Таблица2[[#This Row],[Страница входа]],SEARCH("/tovar/",Таблица2[[#This Row],[Страница входа]])+7,100),
        "/",""
    ),
"не товар")</f>
        <v>471044</v>
      </c>
      <c r="N33" s="68"/>
    </row>
    <row r="34" spans="1:14">
      <c r="A34" s="55" t="s">
        <v>95</v>
      </c>
      <c r="B34" s="55" t="s">
        <v>104</v>
      </c>
      <c r="C34" s="55" t="s">
        <v>154</v>
      </c>
      <c r="D34" s="55" t="s">
        <v>96</v>
      </c>
      <c r="E34" s="55" t="s">
        <v>154</v>
      </c>
      <c r="F34" s="51">
        <v>1</v>
      </c>
      <c r="G34" s="51">
        <v>1</v>
      </c>
      <c r="H34" s="44">
        <v>0</v>
      </c>
      <c r="I34" s="45">
        <v>1</v>
      </c>
      <c r="J34" s="46" t="s">
        <v>155</v>
      </c>
      <c r="K34" t="str">
        <f>SUBSTITUTE(Таблица2[[#This Row],[Страница входа]],"https://кордо.рф/","")</f>
        <v>tovar/604K20543</v>
      </c>
      <c r="L34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4" s="68" t="str">
        <f>IFERROR(
    SUBSTITUTE(
        MID(Таблица2[[#This Row],[Страница входа]],SEARCH("/tovar/",Таблица2[[#This Row],[Страница входа]])+7,100),
        "/",""
    ),
"не товар")</f>
        <v>604K20543</v>
      </c>
      <c r="N34" s="68"/>
    </row>
    <row r="35" spans="1:14">
      <c r="A35" s="55" t="s">
        <v>95</v>
      </c>
      <c r="B35" s="55" t="s">
        <v>104</v>
      </c>
      <c r="C35" s="55" t="s">
        <v>156</v>
      </c>
      <c r="D35" s="55" t="s">
        <v>96</v>
      </c>
      <c r="E35" s="55" t="s">
        <v>156</v>
      </c>
      <c r="F35" s="51">
        <v>1</v>
      </c>
      <c r="G35" s="51">
        <v>1</v>
      </c>
      <c r="H35" s="44">
        <v>1</v>
      </c>
      <c r="I35" s="45">
        <v>1</v>
      </c>
      <c r="J35" s="46" t="s">
        <v>116</v>
      </c>
      <c r="K35" t="str">
        <f>SUBSTITUTE(Таблица2[[#This Row],[Страница входа]],"https://кордо.рф/","")</f>
        <v>tovar/75BMC01</v>
      </c>
      <c r="L35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5" s="68" t="str">
        <f>IFERROR(
    SUBSTITUTE(
        MID(Таблица2[[#This Row],[Страница входа]],SEARCH("/tovar/",Таблица2[[#This Row],[Страница входа]])+7,100),
        "/",""
    ),
"не товар")</f>
        <v>75BMC01</v>
      </c>
      <c r="N35" s="68"/>
    </row>
    <row r="36" spans="1:14">
      <c r="A36" s="55" t="s">
        <v>95</v>
      </c>
      <c r="B36" s="55" t="s">
        <v>104</v>
      </c>
      <c r="C36" s="55" t="s">
        <v>157</v>
      </c>
      <c r="D36" s="55" t="s">
        <v>96</v>
      </c>
      <c r="E36" s="55" t="s">
        <v>157</v>
      </c>
      <c r="F36" s="51">
        <v>1</v>
      </c>
      <c r="G36" s="51">
        <v>1</v>
      </c>
      <c r="H36" s="44">
        <v>0</v>
      </c>
      <c r="I36" s="45">
        <v>2</v>
      </c>
      <c r="J36" s="46" t="s">
        <v>158</v>
      </c>
      <c r="K36" t="str">
        <f>SUBSTITUTE(Таблица2[[#This Row],[Страница входа]],"https://кордо.рф/","")</f>
        <v>tovar/83571</v>
      </c>
      <c r="L36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6" s="68" t="str">
        <f>IFERROR(
    SUBSTITUTE(
        MID(Таблица2[[#This Row],[Страница входа]],SEARCH("/tovar/",Таблица2[[#This Row],[Страница входа]])+7,100),
        "/",""
    ),
"не товар")</f>
        <v>83571</v>
      </c>
      <c r="N36" s="68"/>
    </row>
    <row r="37" spans="1:14">
      <c r="A37" s="55" t="s">
        <v>95</v>
      </c>
      <c r="B37" s="55" t="s">
        <v>104</v>
      </c>
      <c r="C37" s="55" t="s">
        <v>159</v>
      </c>
      <c r="D37" s="55" t="s">
        <v>96</v>
      </c>
      <c r="E37" s="55" t="s">
        <v>159</v>
      </c>
      <c r="F37" s="51">
        <v>1</v>
      </c>
      <c r="G37" s="51">
        <v>1</v>
      </c>
      <c r="H37" s="44">
        <v>0</v>
      </c>
      <c r="I37" s="45">
        <v>7</v>
      </c>
      <c r="J37" s="46" t="s">
        <v>160</v>
      </c>
      <c r="K37" t="str">
        <f>SUBSTITUTE(Таблица2[[#This Row],[Страница входа]],"https://кордо.рф/","")</f>
        <v>tovar/90NB0ZR1-M02S50</v>
      </c>
      <c r="L37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7" s="68" t="str">
        <f>IFERROR(
    SUBSTITUTE(
        MID(Таблица2[[#This Row],[Страница входа]],SEARCH("/tovar/",Таблица2[[#This Row],[Страница входа]])+7,100),
        "/",""
    ),
"не товар")</f>
        <v>90NB0ZR1-M02S50</v>
      </c>
      <c r="N37" s="68"/>
    </row>
    <row r="38" spans="1:14">
      <c r="A38" s="55" t="s">
        <v>95</v>
      </c>
      <c r="B38" s="55" t="s">
        <v>104</v>
      </c>
      <c r="C38" s="55" t="s">
        <v>161</v>
      </c>
      <c r="D38" s="55" t="s">
        <v>96</v>
      </c>
      <c r="E38" s="55" t="s">
        <v>161</v>
      </c>
      <c r="F38" s="51">
        <v>1</v>
      </c>
      <c r="G38" s="51">
        <v>1</v>
      </c>
      <c r="H38" s="44">
        <v>0</v>
      </c>
      <c r="I38" s="45">
        <v>1</v>
      </c>
      <c r="J38" s="46" t="s">
        <v>162</v>
      </c>
      <c r="K38" t="str">
        <f>SUBSTITUTE(Таблица2[[#This Row],[Страница входа]],"https://кордо.рф/","")</f>
        <v>tovar/CT-XE-PH6500M</v>
      </c>
      <c r="L38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8" s="68" t="str">
        <f>IFERROR(
    SUBSTITUTE(
        MID(Таблица2[[#This Row],[Страница входа]],SEARCH("/tovar/",Таблица2[[#This Row],[Страница входа]])+7,100),
        "/",""
    ),
"не товар")</f>
        <v>CT-XE-PH6500M</v>
      </c>
      <c r="N38" s="68"/>
    </row>
    <row r="39" spans="1:14">
      <c r="A39" s="55" t="s">
        <v>95</v>
      </c>
      <c r="B39" s="55" t="s">
        <v>104</v>
      </c>
      <c r="C39" s="55" t="s">
        <v>163</v>
      </c>
      <c r="D39" s="55" t="s">
        <v>96</v>
      </c>
      <c r="E39" s="55" t="s">
        <v>163</v>
      </c>
      <c r="F39" s="51">
        <v>1</v>
      </c>
      <c r="G39" s="51">
        <v>1</v>
      </c>
      <c r="H39" s="44">
        <v>0</v>
      </c>
      <c r="I39" s="45">
        <v>2</v>
      </c>
      <c r="J39" s="46" t="s">
        <v>164</v>
      </c>
      <c r="K39" t="str">
        <f>SUBSTITUTE(Таблица2[[#This Row],[Страница входа]],"https://кордо.рф/","")</f>
        <v>tovar/D0D81846</v>
      </c>
      <c r="L39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39" s="68" t="str">
        <f>IFERROR(
    SUBSTITUTE(
        MID(Таблица2[[#This Row],[Страница входа]],SEARCH("/tovar/",Таблица2[[#This Row],[Страница входа]])+7,100),
        "/",""
    ),
"не товар")</f>
        <v>D0D81846</v>
      </c>
      <c r="N39" s="68"/>
    </row>
    <row r="40" spans="1:14">
      <c r="A40" s="55" t="s">
        <v>95</v>
      </c>
      <c r="B40" s="55" t="s">
        <v>104</v>
      </c>
      <c r="C40" s="55" t="s">
        <v>165</v>
      </c>
      <c r="D40" s="55" t="s">
        <v>96</v>
      </c>
      <c r="E40" s="55" t="s">
        <v>165</v>
      </c>
      <c r="F40" s="51">
        <v>1</v>
      </c>
      <c r="G40" s="51">
        <v>1</v>
      </c>
      <c r="H40" s="44">
        <v>1</v>
      </c>
      <c r="I40" s="45">
        <v>1</v>
      </c>
      <c r="J40" s="46" t="s">
        <v>116</v>
      </c>
      <c r="K40" t="str">
        <f>SUBSTITUTE(Таблица2[[#This Row],[Страница входа]],"https://кордо.рф/","")</f>
        <v>tovar/D4EU02-16G</v>
      </c>
      <c r="L40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0" s="68" t="str">
        <f>IFERROR(
    SUBSTITUTE(
        MID(Таблица2[[#This Row],[Страница входа]],SEARCH("/tovar/",Таблица2[[#This Row],[Страница входа]])+7,100),
        "/",""
    ),
"не товар")</f>
        <v>D4EU02-16G</v>
      </c>
      <c r="N40" s="68"/>
    </row>
    <row r="41" spans="1:14">
      <c r="A41" s="55" t="s">
        <v>95</v>
      </c>
      <c r="B41" s="55" t="s">
        <v>104</v>
      </c>
      <c r="C41" s="55" t="s">
        <v>166</v>
      </c>
      <c r="D41" s="55" t="s">
        <v>96</v>
      </c>
      <c r="E41" s="55" t="s">
        <v>166</v>
      </c>
      <c r="F41" s="51">
        <v>1</v>
      </c>
      <c r="G41" s="51">
        <v>1</v>
      </c>
      <c r="H41" s="44">
        <v>1</v>
      </c>
      <c r="I41" s="45">
        <v>1</v>
      </c>
      <c r="J41" s="46" t="s">
        <v>116</v>
      </c>
      <c r="K41" t="str">
        <f>SUBSTITUTE(Таблица2[[#This Row],[Страница входа]],"https://кордо.рф/","")</f>
        <v>tovar/ELP-UFR-KY-3500i-1</v>
      </c>
      <c r="L41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1" s="68" t="str">
        <f>IFERROR(
    SUBSTITUTE(
        MID(Таблица2[[#This Row],[Страница входа]],SEARCH("/tovar/",Таблица2[[#This Row],[Страница входа]])+7,100),
        "/",""
    ),
"не товар")</f>
        <v>ELP-UFR-KY-3500i-1</v>
      </c>
      <c r="N41" s="68"/>
    </row>
    <row r="42" spans="1:14">
      <c r="A42" s="55" t="s">
        <v>95</v>
      </c>
      <c r="B42" s="55" t="s">
        <v>104</v>
      </c>
      <c r="C42" s="55" t="s">
        <v>167</v>
      </c>
      <c r="D42" s="55" t="s">
        <v>96</v>
      </c>
      <c r="E42" s="55" t="s">
        <v>167</v>
      </c>
      <c r="F42" s="51">
        <v>1</v>
      </c>
      <c r="G42" s="51">
        <v>1</v>
      </c>
      <c r="H42" s="44">
        <v>0</v>
      </c>
      <c r="I42" s="45">
        <v>2</v>
      </c>
      <c r="J42" s="46" t="s">
        <v>168</v>
      </c>
      <c r="K42" t="str">
        <f>SUBSTITUTE(Таблица2[[#This Row],[Страница входа]],"https://кордо.рф/","")</f>
        <v>tovar/FM1-R400</v>
      </c>
      <c r="L42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2" s="68" t="str">
        <f>IFERROR(
    SUBSTITUTE(
        MID(Таблица2[[#This Row],[Страница входа]],SEARCH("/tovar/",Таблица2[[#This Row],[Страница входа]])+7,100),
        "/",""
    ),
"не товар")</f>
        <v>FM1-R400</v>
      </c>
      <c r="N42" s="68"/>
    </row>
    <row r="43" spans="1:14">
      <c r="A43" s="55" t="s">
        <v>95</v>
      </c>
      <c r="B43" s="55" t="s">
        <v>104</v>
      </c>
      <c r="C43" s="55" t="s">
        <v>169</v>
      </c>
      <c r="D43" s="55" t="s">
        <v>96</v>
      </c>
      <c r="E43" s="55" t="s">
        <v>169</v>
      </c>
      <c r="F43" s="51">
        <v>1</v>
      </c>
      <c r="G43" s="51">
        <v>1</v>
      </c>
      <c r="H43" s="44">
        <v>1</v>
      </c>
      <c r="I43" s="45">
        <v>1</v>
      </c>
      <c r="J43" s="46" t="s">
        <v>116</v>
      </c>
      <c r="K43" t="str">
        <f>SUBSTITUTE(Таблица2[[#This Row],[Страница входа]],"https://кордо.рф/","")</f>
        <v>tovar/FM1-Z025</v>
      </c>
      <c r="L43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3" s="68" t="str">
        <f>IFERROR(
    SUBSTITUTE(
        MID(Таблица2[[#This Row],[Страница входа]],SEARCH("/tovar/",Таблица2[[#This Row],[Страница входа]])+7,100),
        "/",""
    ),
"не товар")</f>
        <v>FM1-Z025</v>
      </c>
      <c r="N43" s="68"/>
    </row>
    <row r="44" spans="1:14">
      <c r="A44" s="55" t="s">
        <v>95</v>
      </c>
      <c r="B44" s="55" t="s">
        <v>104</v>
      </c>
      <c r="C44" s="55" t="s">
        <v>170</v>
      </c>
      <c r="D44" s="55" t="s">
        <v>96</v>
      </c>
      <c r="E44" s="55" t="s">
        <v>170</v>
      </c>
      <c r="F44" s="51">
        <v>1</v>
      </c>
      <c r="G44" s="51">
        <v>1</v>
      </c>
      <c r="H44" s="44">
        <v>0</v>
      </c>
      <c r="I44" s="45">
        <v>3</v>
      </c>
      <c r="J44" s="46" t="s">
        <v>171</v>
      </c>
      <c r="K44" t="str">
        <f>SUBSTITUTE(Таблица2[[#This Row],[Страница входа]],"https://кордо.рф/","")</f>
        <v>tovar/MA3500cix</v>
      </c>
      <c r="L44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4" s="68" t="str">
        <f>IFERROR(
    SUBSTITUTE(
        MID(Таблица2[[#This Row],[Страница входа]],SEARCH("/tovar/",Таблица2[[#This Row],[Страница входа]])+7,100),
        "/",""
    ),
"не товар")</f>
        <v>MA3500cix</v>
      </c>
      <c r="N44" s="68"/>
    </row>
    <row r="45" spans="1:14">
      <c r="A45" s="55" t="s">
        <v>95</v>
      </c>
      <c r="B45" s="55" t="s">
        <v>104</v>
      </c>
      <c r="C45" s="55" t="s">
        <v>172</v>
      </c>
      <c r="D45" s="55" t="s">
        <v>96</v>
      </c>
      <c r="E45" s="55" t="s">
        <v>172</v>
      </c>
      <c r="F45" s="51">
        <v>1</v>
      </c>
      <c r="G45" s="51">
        <v>1</v>
      </c>
      <c r="H45" s="44">
        <v>1</v>
      </c>
      <c r="I45" s="45">
        <v>1</v>
      </c>
      <c r="J45" s="46" t="s">
        <v>116</v>
      </c>
      <c r="K45" t="str">
        <f>SUBSTITUTE(Таблица2[[#This Row],[Страница входа]],"https://кордо.рф/","")</f>
        <v>tovar/MA4000wifx</v>
      </c>
      <c r="L45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5" s="68" t="str">
        <f>IFERROR(
    SUBSTITUTE(
        MID(Таблица2[[#This Row],[Страница входа]],SEARCH("/tovar/",Таблица2[[#This Row],[Страница входа]])+7,100),
        "/",""
    ),
"не товар")</f>
        <v>MA4000wifx</v>
      </c>
      <c r="N45" s="68"/>
    </row>
    <row r="46" spans="1:14">
      <c r="A46" s="55" t="s">
        <v>95</v>
      </c>
      <c r="B46" s="55" t="s">
        <v>104</v>
      </c>
      <c r="C46" s="55" t="s">
        <v>173</v>
      </c>
      <c r="D46" s="55" t="s">
        <v>96</v>
      </c>
      <c r="E46" s="55" t="s">
        <v>173</v>
      </c>
      <c r="F46" s="51">
        <v>1</v>
      </c>
      <c r="G46" s="51">
        <v>1</v>
      </c>
      <c r="H46" s="44">
        <v>0</v>
      </c>
      <c r="I46" s="45">
        <v>1</v>
      </c>
      <c r="J46" s="46" t="s">
        <v>174</v>
      </c>
      <c r="K46" t="str">
        <f>SUBSTITUTE(Таблица2[[#This Row],[Страница входа]],"https://кордо.рф/","")</f>
        <v>tovar/MZ-77E4T0BW</v>
      </c>
      <c r="L46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6" s="68" t="str">
        <f>IFERROR(
    SUBSTITUTE(
        MID(Таблица2[[#This Row],[Страница входа]],SEARCH("/tovar/",Таблица2[[#This Row],[Страница входа]])+7,100),
        "/",""
    ),
"не товар")</f>
        <v>MZ-77E4T0BW</v>
      </c>
      <c r="N46" s="68"/>
    </row>
    <row r="47" spans="1:14">
      <c r="A47" s="55" t="s">
        <v>95</v>
      </c>
      <c r="B47" s="55" t="s">
        <v>104</v>
      </c>
      <c r="C47" s="55" t="s">
        <v>175</v>
      </c>
      <c r="D47" s="55" t="s">
        <v>96</v>
      </c>
      <c r="E47" s="55" t="s">
        <v>175</v>
      </c>
      <c r="F47" s="51">
        <v>1</v>
      </c>
      <c r="G47" s="51">
        <v>1</v>
      </c>
      <c r="H47" s="44">
        <v>1</v>
      </c>
      <c r="I47" s="45">
        <v>1</v>
      </c>
      <c r="J47" s="46" t="s">
        <v>116</v>
      </c>
      <c r="K47" t="str">
        <f>SUBSTITUTE(Таблица2[[#This Row],[Страница входа]],"https://кордо.рф/","")</f>
        <v>tovar/NX.KSJER.002</v>
      </c>
      <c r="L47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7" s="68" t="str">
        <f>IFERROR(
    SUBSTITUTE(
        MID(Таблица2[[#This Row],[Страница входа]],SEARCH("/tovar/",Таблица2[[#This Row],[Страница входа]])+7,100),
        "/",""
    ),
"не товар")</f>
        <v>NX.KSJER.002</v>
      </c>
      <c r="N47" s="68"/>
    </row>
    <row r="48" spans="1:14">
      <c r="A48" s="55" t="s">
        <v>95</v>
      </c>
      <c r="B48" s="55" t="s">
        <v>104</v>
      </c>
      <c r="C48" s="55" t="s">
        <v>176</v>
      </c>
      <c r="D48" s="55" t="s">
        <v>96</v>
      </c>
      <c r="E48" s="55" t="s">
        <v>176</v>
      </c>
      <c r="F48" s="51">
        <v>1</v>
      </c>
      <c r="G48" s="51">
        <v>1</v>
      </c>
      <c r="H48" s="44">
        <v>0</v>
      </c>
      <c r="I48" s="45">
        <v>1</v>
      </c>
      <c r="J48" s="46" t="s">
        <v>158</v>
      </c>
      <c r="K48" t="str">
        <f>SUBSTITUTE(Таблица2[[#This Row],[Страница входа]],"https://кордо.рф/","")</f>
        <v>tovar/RM1-8176</v>
      </c>
      <c r="L48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8" s="68" t="str">
        <f>IFERROR(
    SUBSTITUTE(
        MID(Таблица2[[#This Row],[Страница входа]],SEARCH("/tovar/",Таблица2[[#This Row],[Страница входа]])+7,100),
        "/",""
    ),
"не товар")</f>
        <v>RM1-8176</v>
      </c>
      <c r="N48" s="68"/>
    </row>
    <row r="49" spans="1:14">
      <c r="A49" s="55" t="s">
        <v>95</v>
      </c>
      <c r="B49" s="55" t="s">
        <v>104</v>
      </c>
      <c r="C49" s="55" t="s">
        <v>177</v>
      </c>
      <c r="D49" s="55" t="s">
        <v>96</v>
      </c>
      <c r="E49" s="55" t="s">
        <v>177</v>
      </c>
      <c r="F49" s="51">
        <v>1</v>
      </c>
      <c r="G49" s="51">
        <v>1</v>
      </c>
      <c r="H49" s="44">
        <v>0</v>
      </c>
      <c r="I49" s="45">
        <v>1</v>
      </c>
      <c r="J49" s="46" t="s">
        <v>162</v>
      </c>
      <c r="K49" t="str">
        <f>SUBSTITUTE(Таблица2[[#This Row],[Страница входа]],"https://кордо.рф/","")</f>
        <v>tovar/RM2-2758</v>
      </c>
      <c r="L49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49" s="68" t="str">
        <f>IFERROR(
    SUBSTITUTE(
        MID(Таблица2[[#This Row],[Страница входа]],SEARCH("/tovar/",Таблица2[[#This Row],[Страница входа]])+7,100),
        "/",""
    ),
"не товар")</f>
        <v>RM2-2758</v>
      </c>
      <c r="N49" s="68"/>
    </row>
    <row r="50" spans="1:14">
      <c r="A50" s="55" t="s">
        <v>95</v>
      </c>
      <c r="B50" s="55" t="s">
        <v>104</v>
      </c>
      <c r="C50" s="55" t="s">
        <v>178</v>
      </c>
      <c r="D50" s="55" t="s">
        <v>96</v>
      </c>
      <c r="E50" s="55" t="s">
        <v>178</v>
      </c>
      <c r="F50" s="51">
        <v>1</v>
      </c>
      <c r="G50" s="51">
        <v>1</v>
      </c>
      <c r="H50" s="44">
        <v>0</v>
      </c>
      <c r="I50" s="45">
        <v>1</v>
      </c>
      <c r="J50" s="46" t="s">
        <v>179</v>
      </c>
      <c r="K50" t="str">
        <f>SUBSTITUTE(Таблица2[[#This Row],[Страница входа]],"https://кордо.рф/","")</f>
        <v>tovar/TK1140</v>
      </c>
      <c r="L50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0" s="68" t="str">
        <f>IFERROR(
    SUBSTITUTE(
        MID(Таблица2[[#This Row],[Страница входа]],SEARCH("/tovar/",Таблица2[[#This Row],[Страница входа]])+7,100),
        "/",""
    ),
"не товар")</f>
        <v>TK1140</v>
      </c>
      <c r="N50" s="68"/>
    </row>
    <row r="51" spans="1:14">
      <c r="A51" s="55" t="s">
        <v>95</v>
      </c>
      <c r="B51" s="55" t="s">
        <v>104</v>
      </c>
      <c r="C51" s="55" t="s">
        <v>180</v>
      </c>
      <c r="D51" s="55" t="s">
        <v>96</v>
      </c>
      <c r="E51" s="55" t="s">
        <v>180</v>
      </c>
      <c r="F51" s="51">
        <v>1</v>
      </c>
      <c r="G51" s="51">
        <v>1</v>
      </c>
      <c r="H51" s="44">
        <v>0</v>
      </c>
      <c r="I51" s="45">
        <v>2</v>
      </c>
      <c r="J51" s="46" t="s">
        <v>181</v>
      </c>
      <c r="K51" t="str">
        <f>SUBSTITUTE(Таблица2[[#This Row],[Страница входа]],"https://кордо.рф/","")</f>
        <v>tovar/TK5220K</v>
      </c>
      <c r="L51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1" s="68" t="str">
        <f>IFERROR(
    SUBSTITUTE(
        MID(Таблица2[[#This Row],[Страница входа]],SEARCH("/tovar/",Таблица2[[#This Row],[Страница входа]])+7,100),
        "/",""
    ),
"не товар")</f>
        <v>TK5220K</v>
      </c>
      <c r="N51" s="68"/>
    </row>
    <row r="52" spans="1:14">
      <c r="A52" s="55" t="s">
        <v>95</v>
      </c>
      <c r="B52" s="55" t="s">
        <v>104</v>
      </c>
      <c r="C52" s="55" t="s">
        <v>182</v>
      </c>
      <c r="D52" s="55" t="s">
        <v>96</v>
      </c>
      <c r="E52" s="55" t="s">
        <v>182</v>
      </c>
      <c r="F52" s="51">
        <v>1</v>
      </c>
      <c r="G52" s="51">
        <v>1</v>
      </c>
      <c r="H52" s="44">
        <v>0</v>
      </c>
      <c r="I52" s="45">
        <v>1</v>
      </c>
      <c r="J52" s="46" t="s">
        <v>174</v>
      </c>
      <c r="K52" t="str">
        <f>SUBSTITUTE(Таблица2[[#This Row],[Страница входа]],"https://кордо.рф/","")</f>
        <v>tovar/TK5220Y</v>
      </c>
      <c r="L52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2" s="68" t="str">
        <f>IFERROR(
    SUBSTITUTE(
        MID(Таблица2[[#This Row],[Страница входа]],SEARCH("/tovar/",Таблица2[[#This Row],[Страница входа]])+7,100),
        "/",""
    ),
"не товар")</f>
        <v>TK5220Y</v>
      </c>
      <c r="N52" s="68"/>
    </row>
    <row r="53" spans="1:14">
      <c r="A53" s="55" t="s">
        <v>95</v>
      </c>
      <c r="B53" s="55" t="s">
        <v>104</v>
      </c>
      <c r="C53" s="55" t="s">
        <v>183</v>
      </c>
      <c r="D53" s="55" t="s">
        <v>96</v>
      </c>
      <c r="E53" s="55" t="s">
        <v>183</v>
      </c>
      <c r="F53" s="51">
        <v>1</v>
      </c>
      <c r="G53" s="51">
        <v>1</v>
      </c>
      <c r="H53" s="44">
        <v>0</v>
      </c>
      <c r="I53" s="45">
        <v>4</v>
      </c>
      <c r="J53" s="46" t="s">
        <v>184</v>
      </c>
      <c r="K53" t="str">
        <f>SUBSTITUTE(Таблица2[[#This Row],[Страница входа]],"https://кордо.рф/","")</f>
        <v>tovar/TK5240M</v>
      </c>
      <c r="L53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3" s="68" t="str">
        <f>IFERROR(
    SUBSTITUTE(
        MID(Таблица2[[#This Row],[Страница входа]],SEARCH("/tovar/",Таблица2[[#This Row],[Страница входа]])+7,100),
        "/",""
    ),
"не товар")</f>
        <v>TK5240M</v>
      </c>
      <c r="N53" s="68"/>
    </row>
    <row r="54" spans="1:14">
      <c r="A54" s="55" t="s">
        <v>95</v>
      </c>
      <c r="B54" s="55" t="s">
        <v>104</v>
      </c>
      <c r="C54" s="55" t="s">
        <v>185</v>
      </c>
      <c r="D54" s="55" t="s">
        <v>96</v>
      </c>
      <c r="E54" s="55" t="s">
        <v>185</v>
      </c>
      <c r="F54" s="51">
        <v>1</v>
      </c>
      <c r="G54" s="51">
        <v>1</v>
      </c>
      <c r="H54" s="44">
        <v>1</v>
      </c>
      <c r="I54" s="45">
        <v>1</v>
      </c>
      <c r="J54" s="46" t="s">
        <v>116</v>
      </c>
      <c r="K54" t="str">
        <f>SUBSTITUTE(Таблица2[[#This Row],[Страница входа]],"https://кордо.рф/","")</f>
        <v>tovar/TK5270C</v>
      </c>
      <c r="L54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4" s="68" t="str">
        <f>IFERROR(
    SUBSTITUTE(
        MID(Таблица2[[#This Row],[Страница входа]],SEARCH("/tovar/",Таблица2[[#This Row],[Страница входа]])+7,100),
        "/",""
    ),
"не товар")</f>
        <v>TK5270C</v>
      </c>
      <c r="N54" s="68"/>
    </row>
    <row r="55" spans="1:14">
      <c r="A55" s="55" t="s">
        <v>95</v>
      </c>
      <c r="B55" s="55" t="s">
        <v>104</v>
      </c>
      <c r="C55" s="55" t="s">
        <v>186</v>
      </c>
      <c r="D55" s="55" t="s">
        <v>96</v>
      </c>
      <c r="E55" s="55" t="s">
        <v>186</v>
      </c>
      <c r="F55" s="51">
        <v>1</v>
      </c>
      <c r="G55" s="51">
        <v>1</v>
      </c>
      <c r="H55" s="44">
        <v>1</v>
      </c>
      <c r="I55" s="45">
        <v>1</v>
      </c>
      <c r="J55" s="46" t="s">
        <v>116</v>
      </c>
      <c r="K55" t="str">
        <f>SUBSTITUTE(Таблица2[[#This Row],[Страница входа]],"https://кордо.рф/","")</f>
        <v>tovar/TS64GUSD300S-A</v>
      </c>
      <c r="L55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5" s="68" t="str">
        <f>IFERROR(
    SUBSTITUTE(
        MID(Таблица2[[#This Row],[Страница входа]],SEARCH("/tovar/",Таблица2[[#This Row],[Страница входа]])+7,100),
        "/",""
    ),
"не товар")</f>
        <v>TS64GUSD300S-A</v>
      </c>
      <c r="N55" s="68"/>
    </row>
    <row r="56" spans="1:14">
      <c r="A56" s="55" t="s">
        <v>95</v>
      </c>
      <c r="B56" s="55" t="s">
        <v>104</v>
      </c>
      <c r="C56" s="55" t="s">
        <v>187</v>
      </c>
      <c r="D56" s="55" t="s">
        <v>96</v>
      </c>
      <c r="E56" s="55" t="s">
        <v>187</v>
      </c>
      <c r="F56" s="51">
        <v>1</v>
      </c>
      <c r="G56" s="51">
        <v>1</v>
      </c>
      <c r="H56" s="44">
        <v>0</v>
      </c>
      <c r="I56" s="45">
        <v>1</v>
      </c>
      <c r="J56" s="46" t="s">
        <v>126</v>
      </c>
      <c r="K56" t="str">
        <f>SUBSTITUTE(Таблица2[[#This Row],[Страница входа]],"https://кордо.рф/","")</f>
        <v>tovar/WR1300</v>
      </c>
      <c r="L56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6" s="68" t="str">
        <f>IFERROR(
    SUBSTITUTE(
        MID(Таблица2[[#This Row],[Страница входа]],SEARCH("/tovar/",Таблица2[[#This Row],[Страница входа]])+7,100),
        "/",""
    ),
"не товар")</f>
        <v>WR1300</v>
      </c>
      <c r="N56" s="68"/>
    </row>
    <row r="57" spans="1:14">
      <c r="A57" s="55" t="s">
        <v>95</v>
      </c>
      <c r="B57" s="55" t="s">
        <v>104</v>
      </c>
      <c r="C57" s="55" t="s">
        <v>188</v>
      </c>
      <c r="D57" s="55" t="s">
        <v>96</v>
      </c>
      <c r="E57" s="55" t="s">
        <v>188</v>
      </c>
      <c r="F57" s="51">
        <v>1</v>
      </c>
      <c r="G57" s="51">
        <v>1</v>
      </c>
      <c r="H57" s="44">
        <v>0</v>
      </c>
      <c r="I57" s="45">
        <v>1</v>
      </c>
      <c r="J57" s="46" t="s">
        <v>155</v>
      </c>
      <c r="K57" t="str">
        <f>SUBSTITUTE(Таблица2[[#This Row],[Страница входа]],"https://кордо.рф/","")</f>
        <v>tovar/Б0062717-139398</v>
      </c>
      <c r="L57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7" s="68" t="str">
        <f>IFERROR(
    SUBSTITUTE(
        MID(Таблица2[[#This Row],[Страница входа]],SEARCH("/tovar/",Таблица2[[#This Row],[Страница входа]])+7,100),
        "/",""
    ),
"не товар")</f>
        <v>Б0062717-139398</v>
      </c>
      <c r="N57" s="68"/>
    </row>
    <row r="58" spans="1:14">
      <c r="A58" s="55" t="s">
        <v>95</v>
      </c>
      <c r="B58" s="55" t="s">
        <v>104</v>
      </c>
      <c r="C58" s="55" t="s">
        <v>189</v>
      </c>
      <c r="D58" s="55" t="s">
        <v>96</v>
      </c>
      <c r="E58" s="55" t="s">
        <v>189</v>
      </c>
      <c r="F58" s="51">
        <v>1</v>
      </c>
      <c r="G58" s="51">
        <v>1</v>
      </c>
      <c r="H58" s="44">
        <v>0</v>
      </c>
      <c r="I58" s="45">
        <v>1</v>
      </c>
      <c r="J58" s="46" t="s">
        <v>155</v>
      </c>
      <c r="K58" t="str">
        <f>SUBSTITUTE(Таблица2[[#This Row],[Страница входа]],"https://кордо.рф/","")</f>
        <v>tovar/Б0064661-149304</v>
      </c>
      <c r="L58" s="68" t="str">
        <f>IF(ISERROR(SEARCH("/tovar/",Таблица2[[#This Row],[Страница входа]])),
    IF(ISERROR(SEARCH("/katalog",Таблица2[[#This Row],[Страница входа]])),
        IF(Таблица2[[#This Row],[Страница входа]]="https://кордо.рф/","Главная","Прочее"),
    "Каталог"),
"Товар")</f>
        <v>Товар</v>
      </c>
      <c r="M58" s="68" t="str">
        <f>IFERROR(
    SUBSTITUTE(
        MID(Таблица2[[#This Row],[Страница входа]],SEARCH("/tovar/",Таблица2[[#This Row],[Страница входа]])+7,100),
        "/",""
    ),
"не товар")</f>
        <v>Б0064661-149304</v>
      </c>
      <c r="N58" s="6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selection sqref="A1:A1048576"/>
    </sheetView>
  </sheetViews>
  <sheetFormatPr defaultRowHeight="15"/>
  <cols>
    <col min="1" max="1" width="10.42578125" style="7" bestFit="1" customWidth="1"/>
    <col min="2" max="2" width="29.140625" bestFit="1" customWidth="1"/>
    <col min="3" max="3" width="28.7109375" bestFit="1" customWidth="1"/>
  </cols>
  <sheetData>
    <row r="1" spans="1:3">
      <c r="A1" s="53" t="s">
        <v>0</v>
      </c>
      <c r="B1" s="8" t="s">
        <v>190</v>
      </c>
      <c r="C1" s="8" t="s">
        <v>1</v>
      </c>
    </row>
    <row r="2" spans="1:3">
      <c r="A2" s="54" t="s">
        <v>2</v>
      </c>
      <c r="B2" s="9">
        <v>0</v>
      </c>
      <c r="C2" s="9">
        <v>0</v>
      </c>
    </row>
    <row r="3" spans="1:3">
      <c r="A3" s="54" t="s">
        <v>3</v>
      </c>
      <c r="B3" s="9">
        <v>0</v>
      </c>
      <c r="C3" s="9">
        <v>0</v>
      </c>
    </row>
    <row r="4" spans="1:3">
      <c r="A4" s="54" t="s">
        <v>4</v>
      </c>
      <c r="B4" s="9">
        <v>23</v>
      </c>
      <c r="C4" s="9">
        <v>23</v>
      </c>
    </row>
    <row r="5" spans="1:3">
      <c r="A5" s="54" t="s">
        <v>5</v>
      </c>
      <c r="B5" s="9">
        <v>26</v>
      </c>
      <c r="C5" s="9">
        <v>26</v>
      </c>
    </row>
    <row r="6" spans="1:3">
      <c r="A6" s="54" t="s">
        <v>6</v>
      </c>
      <c r="B6" s="9">
        <v>7</v>
      </c>
      <c r="C6" s="9">
        <v>7</v>
      </c>
    </row>
    <row r="7" spans="1:3">
      <c r="A7" s="54" t="s">
        <v>7</v>
      </c>
      <c r="B7" s="9">
        <v>5</v>
      </c>
      <c r="C7" s="9">
        <v>5</v>
      </c>
    </row>
    <row r="8" spans="1:3">
      <c r="A8" s="54" t="s">
        <v>8</v>
      </c>
      <c r="B8" s="9">
        <v>4</v>
      </c>
      <c r="C8" s="9">
        <v>4</v>
      </c>
    </row>
    <row r="9" spans="1:3">
      <c r="A9" s="54" t="s">
        <v>9</v>
      </c>
      <c r="B9" s="9">
        <v>1</v>
      </c>
      <c r="C9" s="9">
        <v>1</v>
      </c>
    </row>
    <row r="10" spans="1:3">
      <c r="A10" s="54" t="s">
        <v>10</v>
      </c>
      <c r="B10" s="9">
        <v>2</v>
      </c>
      <c r="C10" s="9">
        <v>2</v>
      </c>
    </row>
    <row r="11" spans="1:3">
      <c r="A11" s="54" t="s">
        <v>11</v>
      </c>
      <c r="B11" s="9">
        <v>21</v>
      </c>
      <c r="C11" s="9">
        <v>21</v>
      </c>
    </row>
    <row r="12" spans="1:3">
      <c r="A12" s="54" t="s">
        <v>12</v>
      </c>
      <c r="B12" s="9">
        <v>5</v>
      </c>
      <c r="C12" s="9">
        <v>5</v>
      </c>
    </row>
    <row r="13" spans="1:3">
      <c r="A13" s="54" t="s">
        <v>13</v>
      </c>
      <c r="B13" s="9">
        <v>2</v>
      </c>
      <c r="C13" s="9">
        <v>2</v>
      </c>
    </row>
    <row r="14" spans="1:3">
      <c r="A14" s="54" t="s">
        <v>14</v>
      </c>
      <c r="B14" s="9">
        <v>1</v>
      </c>
      <c r="C14" s="9">
        <v>1</v>
      </c>
    </row>
    <row r="15" spans="1:3">
      <c r="A15" s="54" t="s">
        <v>15</v>
      </c>
      <c r="B15" s="9">
        <v>6</v>
      </c>
      <c r="C15" s="9">
        <v>6</v>
      </c>
    </row>
    <row r="16" spans="1:3">
      <c r="A16" s="54" t="s">
        <v>16</v>
      </c>
      <c r="B16" s="9">
        <v>1</v>
      </c>
      <c r="C16" s="9">
        <v>1</v>
      </c>
    </row>
    <row r="17" spans="1:3">
      <c r="A17" s="54" t="s">
        <v>17</v>
      </c>
      <c r="B17" s="9">
        <v>8</v>
      </c>
      <c r="C17" s="9">
        <v>8</v>
      </c>
    </row>
    <row r="18" spans="1:3">
      <c r="A18" s="54" t="s">
        <v>18</v>
      </c>
      <c r="B18" s="9">
        <v>6</v>
      </c>
      <c r="C18" s="9">
        <v>6</v>
      </c>
    </row>
    <row r="19" spans="1:3">
      <c r="A19" s="54" t="s">
        <v>19</v>
      </c>
      <c r="B19" s="9">
        <v>12</v>
      </c>
      <c r="C19" s="9">
        <v>12</v>
      </c>
    </row>
    <row r="20" spans="1:3">
      <c r="A20" s="54" t="s">
        <v>20</v>
      </c>
      <c r="B20" s="9">
        <v>14</v>
      </c>
      <c r="C20" s="9">
        <v>14</v>
      </c>
    </row>
    <row r="21" spans="1:3">
      <c r="A21" s="54" t="s">
        <v>21</v>
      </c>
      <c r="B21" s="9">
        <v>14</v>
      </c>
      <c r="C21" s="9">
        <v>14</v>
      </c>
    </row>
    <row r="22" spans="1:3">
      <c r="A22" s="54" t="s">
        <v>22</v>
      </c>
      <c r="B22" s="9">
        <v>9</v>
      </c>
      <c r="C22" s="9">
        <v>9</v>
      </c>
    </row>
    <row r="23" spans="1:3">
      <c r="A23" s="54" t="s">
        <v>23</v>
      </c>
      <c r="B23" s="9">
        <v>5</v>
      </c>
      <c r="C23" s="9">
        <v>5</v>
      </c>
    </row>
    <row r="24" spans="1:3">
      <c r="A24" s="54" t="s">
        <v>24</v>
      </c>
      <c r="B24" s="9">
        <v>1</v>
      </c>
      <c r="C24" s="9">
        <v>1</v>
      </c>
    </row>
    <row r="25" spans="1:3">
      <c r="A25" s="54" t="s">
        <v>25</v>
      </c>
      <c r="B25" s="9">
        <v>6</v>
      </c>
      <c r="C25" s="9">
        <v>6</v>
      </c>
    </row>
    <row r="26" spans="1:3">
      <c r="A26" s="54" t="s">
        <v>26</v>
      </c>
      <c r="B26" s="9">
        <v>14</v>
      </c>
      <c r="C26" s="9">
        <v>14</v>
      </c>
    </row>
    <row r="27" spans="1:3">
      <c r="A27" s="54" t="s">
        <v>27</v>
      </c>
      <c r="B27" s="9">
        <v>10</v>
      </c>
      <c r="C27" s="9">
        <v>10</v>
      </c>
    </row>
    <row r="28" spans="1:3">
      <c r="A28" s="54" t="s">
        <v>28</v>
      </c>
      <c r="B28" s="9">
        <v>17</v>
      </c>
      <c r="C28" s="9">
        <v>17</v>
      </c>
    </row>
    <row r="29" spans="1:3">
      <c r="A29" s="54" t="s">
        <v>29</v>
      </c>
      <c r="B29" s="9">
        <v>6</v>
      </c>
      <c r="C29" s="9">
        <v>6</v>
      </c>
    </row>
    <row r="30" spans="1:3">
      <c r="A30" s="54" t="s">
        <v>30</v>
      </c>
      <c r="B30" s="9">
        <v>1</v>
      </c>
      <c r="C30" s="9">
        <v>1</v>
      </c>
    </row>
    <row r="31" spans="1:3">
      <c r="A31" s="54" t="s">
        <v>31</v>
      </c>
      <c r="B31" s="9">
        <v>1</v>
      </c>
      <c r="C31" s="9">
        <v>1</v>
      </c>
    </row>
    <row r="32" spans="1:3">
      <c r="A32" s="54" t="s">
        <v>32</v>
      </c>
      <c r="B32" s="9">
        <v>2</v>
      </c>
      <c r="C32" s="9">
        <v>2</v>
      </c>
    </row>
    <row r="33" spans="1:3">
      <c r="A33" s="54" t="s">
        <v>33</v>
      </c>
      <c r="B33" s="9">
        <v>4</v>
      </c>
      <c r="C33" s="9">
        <v>4</v>
      </c>
    </row>
    <row r="34" spans="1:3">
      <c r="A34" s="54" t="s">
        <v>34</v>
      </c>
      <c r="B34" s="9">
        <v>2</v>
      </c>
      <c r="C34" s="9">
        <v>2</v>
      </c>
    </row>
    <row r="35" spans="1:3">
      <c r="A35" s="54" t="s">
        <v>35</v>
      </c>
      <c r="B35" s="9">
        <v>4</v>
      </c>
      <c r="C35" s="9">
        <v>4</v>
      </c>
    </row>
    <row r="36" spans="1:3">
      <c r="A36" s="54" t="s">
        <v>36</v>
      </c>
      <c r="B36" s="9">
        <v>0</v>
      </c>
      <c r="C36" s="9">
        <v>0</v>
      </c>
    </row>
    <row r="37" spans="1:3">
      <c r="A37" s="54" t="s">
        <v>37</v>
      </c>
      <c r="B37" s="9">
        <v>4</v>
      </c>
      <c r="C37" s="9">
        <v>4</v>
      </c>
    </row>
    <row r="38" spans="1:3">
      <c r="A38" s="54" t="s">
        <v>38</v>
      </c>
      <c r="B38" s="9">
        <v>3</v>
      </c>
      <c r="C38" s="9">
        <v>3</v>
      </c>
    </row>
    <row r="39" spans="1:3">
      <c r="A39" s="54" t="s">
        <v>39</v>
      </c>
      <c r="B39" s="9">
        <v>0</v>
      </c>
      <c r="C39" s="9">
        <v>0</v>
      </c>
    </row>
    <row r="40" spans="1:3">
      <c r="A40" s="54" t="s">
        <v>40</v>
      </c>
      <c r="B40" s="9">
        <v>1</v>
      </c>
      <c r="C40" s="9">
        <v>1</v>
      </c>
    </row>
    <row r="41" spans="1:3">
      <c r="A41" s="54" t="s">
        <v>41</v>
      </c>
      <c r="B41" s="9">
        <v>2</v>
      </c>
      <c r="C41" s="9">
        <v>2</v>
      </c>
    </row>
    <row r="42" spans="1:3">
      <c r="A42" s="54" t="s">
        <v>42</v>
      </c>
      <c r="B42" s="9">
        <v>2</v>
      </c>
      <c r="C42" s="9">
        <v>2</v>
      </c>
    </row>
    <row r="43" spans="1:3">
      <c r="A43" s="54" t="s">
        <v>43</v>
      </c>
      <c r="B43" s="9">
        <v>1</v>
      </c>
      <c r="C43" s="9">
        <v>1</v>
      </c>
    </row>
    <row r="44" spans="1:3">
      <c r="A44" s="54" t="s">
        <v>44</v>
      </c>
      <c r="B44" s="9">
        <v>1</v>
      </c>
      <c r="C44" s="9">
        <v>1</v>
      </c>
    </row>
    <row r="45" spans="1:3">
      <c r="A45" s="54" t="s">
        <v>45</v>
      </c>
      <c r="B45" s="9">
        <v>3</v>
      </c>
      <c r="C45" s="9">
        <v>3</v>
      </c>
    </row>
    <row r="46" spans="1:3">
      <c r="A46" s="54" t="s">
        <v>46</v>
      </c>
      <c r="B46" s="9">
        <v>2</v>
      </c>
      <c r="C46" s="9">
        <v>2</v>
      </c>
    </row>
    <row r="47" spans="1:3">
      <c r="A47" s="54" t="s">
        <v>47</v>
      </c>
      <c r="B47" s="9">
        <v>4</v>
      </c>
      <c r="C47" s="9">
        <v>4</v>
      </c>
    </row>
    <row r="48" spans="1:3">
      <c r="A48" s="54" t="s">
        <v>48</v>
      </c>
      <c r="B48" s="9">
        <v>8</v>
      </c>
      <c r="C48" s="9">
        <v>8</v>
      </c>
    </row>
    <row r="49" spans="1:3">
      <c r="A49" s="54" t="s">
        <v>49</v>
      </c>
      <c r="B49" s="9">
        <v>1</v>
      </c>
      <c r="C49" s="9">
        <v>1</v>
      </c>
    </row>
    <row r="50" spans="1:3">
      <c r="A50" s="54" t="s">
        <v>50</v>
      </c>
      <c r="B50" s="9">
        <v>1</v>
      </c>
      <c r="C50" s="9">
        <v>1</v>
      </c>
    </row>
    <row r="51" spans="1:3">
      <c r="A51" s="54" t="s">
        <v>51</v>
      </c>
      <c r="B51" s="9">
        <v>1</v>
      </c>
      <c r="C51" s="9">
        <v>1</v>
      </c>
    </row>
    <row r="52" spans="1:3">
      <c r="A52" s="54" t="s">
        <v>52</v>
      </c>
      <c r="B52" s="9">
        <v>2</v>
      </c>
      <c r="C52" s="9">
        <v>2</v>
      </c>
    </row>
    <row r="53" spans="1:3">
      <c r="A53" s="54" t="s">
        <v>53</v>
      </c>
      <c r="B53" s="9">
        <v>0</v>
      </c>
      <c r="C53" s="9">
        <v>0</v>
      </c>
    </row>
    <row r="54" spans="1:3">
      <c r="A54" s="54" t="s">
        <v>54</v>
      </c>
      <c r="B54" s="9">
        <v>0</v>
      </c>
      <c r="C54" s="9">
        <v>0</v>
      </c>
    </row>
    <row r="55" spans="1:3">
      <c r="A55" s="54" t="s">
        <v>55</v>
      </c>
      <c r="B55" s="9">
        <v>6</v>
      </c>
      <c r="C55" s="9">
        <v>6</v>
      </c>
    </row>
    <row r="56" spans="1:3">
      <c r="A56" s="54" t="s">
        <v>56</v>
      </c>
      <c r="B56" s="9">
        <v>2</v>
      </c>
      <c r="C56" s="9">
        <v>2</v>
      </c>
    </row>
    <row r="57" spans="1:3">
      <c r="A57" s="54" t="s">
        <v>57</v>
      </c>
      <c r="B57" s="9">
        <v>3</v>
      </c>
      <c r="C57" s="9">
        <v>3</v>
      </c>
    </row>
    <row r="58" spans="1:3">
      <c r="A58" s="54" t="s">
        <v>58</v>
      </c>
      <c r="B58" s="9">
        <v>0</v>
      </c>
      <c r="C58" s="9">
        <v>0</v>
      </c>
    </row>
    <row r="59" spans="1:3">
      <c r="A59" s="54" t="s">
        <v>59</v>
      </c>
      <c r="B59" s="9">
        <v>1</v>
      </c>
      <c r="C59" s="9">
        <v>1</v>
      </c>
    </row>
    <row r="60" spans="1:3">
      <c r="A60" s="54" t="s">
        <v>60</v>
      </c>
      <c r="B60" s="9">
        <v>5</v>
      </c>
      <c r="C60" s="9">
        <v>5</v>
      </c>
    </row>
    <row r="61" spans="1:3">
      <c r="A61" s="54" t="s">
        <v>61</v>
      </c>
      <c r="B61" s="9">
        <v>1</v>
      </c>
      <c r="C61" s="9">
        <v>1</v>
      </c>
    </row>
    <row r="62" spans="1:3">
      <c r="A62" s="54" t="s">
        <v>62</v>
      </c>
      <c r="B62" s="9">
        <v>1</v>
      </c>
      <c r="C62" s="9">
        <v>1</v>
      </c>
    </row>
    <row r="63" spans="1:3">
      <c r="A63" s="54" t="s">
        <v>63</v>
      </c>
      <c r="B63" s="9">
        <v>0</v>
      </c>
      <c r="C63" s="9">
        <v>0</v>
      </c>
    </row>
    <row r="64" spans="1:3">
      <c r="A64" s="54" t="s">
        <v>64</v>
      </c>
      <c r="B64" s="9">
        <v>1</v>
      </c>
      <c r="C64" s="9">
        <v>1</v>
      </c>
    </row>
    <row r="65" spans="1:3">
      <c r="A65" s="54" t="s">
        <v>65</v>
      </c>
      <c r="B65" s="9">
        <v>0</v>
      </c>
      <c r="C65" s="9">
        <v>0</v>
      </c>
    </row>
    <row r="66" spans="1:3">
      <c r="A66" s="54" t="s">
        <v>66</v>
      </c>
      <c r="B66" s="9">
        <v>2</v>
      </c>
      <c r="C66" s="9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workbookViewId="0">
      <selection activeCell="C7" sqref="C7"/>
    </sheetView>
  </sheetViews>
  <sheetFormatPr defaultRowHeight="15"/>
  <cols>
    <col min="1" max="1" width="25.85546875" bestFit="1" customWidth="1"/>
    <col min="2" max="2" width="31.28515625" bestFit="1" customWidth="1"/>
    <col min="3" max="3" width="41.42578125" bestFit="1" customWidth="1"/>
    <col min="4" max="4" width="25.85546875" bestFit="1" customWidth="1"/>
    <col min="5" max="5" width="41.42578125" bestFit="1" customWidth="1"/>
    <col min="6" max="6" width="8.85546875" bestFit="1" customWidth="1"/>
    <col min="7" max="7" width="13.42578125" bestFit="1" customWidth="1"/>
    <col min="8" max="8" width="8.7109375" bestFit="1" customWidth="1"/>
    <col min="9" max="9" width="21.85546875" bestFit="1" customWidth="1"/>
    <col min="10" max="10" width="17.5703125" bestFit="1" customWidth="1"/>
  </cols>
  <sheetData>
    <row r="1" spans="1:10">
      <c r="A1" s="10" t="s">
        <v>191</v>
      </c>
      <c r="B1" s="10" t="s">
        <v>192</v>
      </c>
      <c r="C1" s="10" t="s">
        <v>193</v>
      </c>
      <c r="D1" s="10" t="s">
        <v>194</v>
      </c>
      <c r="E1" s="10" t="s">
        <v>195</v>
      </c>
      <c r="F1" s="10" t="s">
        <v>68</v>
      </c>
      <c r="G1" s="10" t="s">
        <v>69</v>
      </c>
      <c r="H1" s="10" t="s">
        <v>70</v>
      </c>
      <c r="I1" s="10" t="s">
        <v>71</v>
      </c>
      <c r="J1" s="10" t="s">
        <v>72</v>
      </c>
    </row>
    <row r="2" spans="1:10">
      <c r="A2" s="71" t="s">
        <v>73</v>
      </c>
      <c r="B2" s="71" t="s">
        <v>94</v>
      </c>
      <c r="C2" s="71" t="s">
        <v>94</v>
      </c>
      <c r="D2" s="71" t="s">
        <v>94</v>
      </c>
      <c r="E2" s="71" t="s">
        <v>94</v>
      </c>
      <c r="F2" s="12">
        <v>298</v>
      </c>
      <c r="G2" s="12">
        <v>109</v>
      </c>
      <c r="H2" s="13">
        <v>0.29865771812080538</v>
      </c>
      <c r="I2" s="14">
        <v>7.1006711409395971</v>
      </c>
      <c r="J2" s="15" t="s">
        <v>74</v>
      </c>
    </row>
    <row r="3" spans="1:10">
      <c r="A3" s="11" t="s">
        <v>95</v>
      </c>
      <c r="B3" s="11" t="s">
        <v>96</v>
      </c>
      <c r="C3" s="11" t="s">
        <v>96</v>
      </c>
      <c r="D3" s="11" t="s">
        <v>96</v>
      </c>
      <c r="E3" s="11" t="s">
        <v>95</v>
      </c>
      <c r="F3" s="12">
        <v>97</v>
      </c>
      <c r="G3" s="12">
        <v>51</v>
      </c>
      <c r="H3" s="13">
        <v>0.53608247422680411</v>
      </c>
      <c r="I3" s="14">
        <v>1.7731958762886597</v>
      </c>
      <c r="J3" s="15" t="s">
        <v>196</v>
      </c>
    </row>
    <row r="4" spans="1:10">
      <c r="A4" s="11" t="s">
        <v>95</v>
      </c>
      <c r="B4" s="11" t="s">
        <v>98</v>
      </c>
      <c r="C4" s="11" t="s">
        <v>96</v>
      </c>
      <c r="D4" s="11" t="s">
        <v>96</v>
      </c>
      <c r="E4" s="11" t="s">
        <v>98</v>
      </c>
      <c r="F4" s="12">
        <v>34</v>
      </c>
      <c r="G4" s="12">
        <v>15</v>
      </c>
      <c r="H4" s="13">
        <v>0.17647058823529413</v>
      </c>
      <c r="I4" s="14">
        <v>18.705882352941178</v>
      </c>
      <c r="J4" s="15" t="s">
        <v>197</v>
      </c>
    </row>
    <row r="5" spans="1:10">
      <c r="A5" s="11" t="s">
        <v>95</v>
      </c>
      <c r="B5" s="11" t="s">
        <v>100</v>
      </c>
      <c r="C5" s="11" t="s">
        <v>96</v>
      </c>
      <c r="D5" s="11" t="s">
        <v>96</v>
      </c>
      <c r="E5" s="11" t="s">
        <v>100</v>
      </c>
      <c r="F5" s="12">
        <v>32</v>
      </c>
      <c r="G5" s="12">
        <v>8</v>
      </c>
      <c r="H5" s="13">
        <v>0.15625</v>
      </c>
      <c r="I5" s="14">
        <v>10.375</v>
      </c>
      <c r="J5" s="15" t="s">
        <v>198</v>
      </c>
    </row>
    <row r="6" spans="1:10">
      <c r="A6" s="11" t="s">
        <v>95</v>
      </c>
      <c r="B6" s="11" t="s">
        <v>104</v>
      </c>
      <c r="C6" s="11" t="s">
        <v>105</v>
      </c>
      <c r="D6" s="11" t="s">
        <v>96</v>
      </c>
      <c r="E6" s="11" t="s">
        <v>105</v>
      </c>
      <c r="F6" s="12">
        <v>24</v>
      </c>
      <c r="G6" s="12">
        <v>9</v>
      </c>
      <c r="H6" s="13">
        <v>4.1666666666666657E-2</v>
      </c>
      <c r="I6" s="14">
        <v>9.6666666666666661</v>
      </c>
      <c r="J6" s="15" t="s">
        <v>199</v>
      </c>
    </row>
    <row r="7" spans="1:10">
      <c r="A7" s="11" t="s">
        <v>95</v>
      </c>
      <c r="B7" s="11" t="s">
        <v>102</v>
      </c>
      <c r="C7" s="11" t="s">
        <v>96</v>
      </c>
      <c r="D7" s="11" t="s">
        <v>96</v>
      </c>
      <c r="E7" s="11" t="s">
        <v>102</v>
      </c>
      <c r="F7" s="12">
        <v>16</v>
      </c>
      <c r="G7" s="12">
        <v>10</v>
      </c>
      <c r="H7" s="13">
        <v>0.1875</v>
      </c>
      <c r="I7" s="14">
        <v>4.75</v>
      </c>
      <c r="J7" s="15" t="s">
        <v>200</v>
      </c>
    </row>
    <row r="8" spans="1:10">
      <c r="A8" s="11" t="s">
        <v>95</v>
      </c>
      <c r="B8" s="11" t="s">
        <v>107</v>
      </c>
      <c r="C8" s="11" t="s">
        <v>96</v>
      </c>
      <c r="D8" s="11" t="s">
        <v>96</v>
      </c>
      <c r="E8" s="11" t="s">
        <v>107</v>
      </c>
      <c r="F8" s="12">
        <v>5</v>
      </c>
      <c r="G8" s="12">
        <v>3</v>
      </c>
      <c r="H8" s="13">
        <v>0.2</v>
      </c>
      <c r="I8" s="14">
        <v>3.2</v>
      </c>
      <c r="J8" s="15" t="s">
        <v>201</v>
      </c>
    </row>
    <row r="9" spans="1:10">
      <c r="A9" s="11" t="s">
        <v>95</v>
      </c>
      <c r="B9" s="11" t="s">
        <v>202</v>
      </c>
      <c r="C9" s="11" t="s">
        <v>96</v>
      </c>
      <c r="D9" s="11" t="s">
        <v>96</v>
      </c>
      <c r="E9" s="11" t="s">
        <v>202</v>
      </c>
      <c r="F9" s="12">
        <v>4</v>
      </c>
      <c r="G9" s="12">
        <v>3</v>
      </c>
      <c r="H9" s="13">
        <v>0</v>
      </c>
      <c r="I9" s="14">
        <v>7</v>
      </c>
      <c r="J9" s="15" t="s">
        <v>203</v>
      </c>
    </row>
    <row r="10" spans="1:10">
      <c r="A10" s="11" t="s">
        <v>95</v>
      </c>
      <c r="B10" s="11" t="s">
        <v>204</v>
      </c>
      <c r="C10" s="11" t="s">
        <v>96</v>
      </c>
      <c r="D10" s="11" t="s">
        <v>96</v>
      </c>
      <c r="E10" s="11" t="s">
        <v>204</v>
      </c>
      <c r="F10" s="12">
        <v>4</v>
      </c>
      <c r="G10" s="12">
        <v>2</v>
      </c>
      <c r="H10" s="13">
        <v>0</v>
      </c>
      <c r="I10" s="14">
        <v>12</v>
      </c>
      <c r="J10" s="15" t="s">
        <v>205</v>
      </c>
    </row>
    <row r="11" spans="1:10">
      <c r="A11" s="11" t="s">
        <v>95</v>
      </c>
      <c r="B11" s="11" t="s">
        <v>104</v>
      </c>
      <c r="C11" s="11" t="s">
        <v>121</v>
      </c>
      <c r="D11" s="11" t="s">
        <v>96</v>
      </c>
      <c r="E11" s="11" t="s">
        <v>121</v>
      </c>
      <c r="F11" s="12">
        <v>4</v>
      </c>
      <c r="G11" s="12">
        <v>3</v>
      </c>
      <c r="H11" s="13">
        <v>0.25</v>
      </c>
      <c r="I11" s="14">
        <v>6.75</v>
      </c>
      <c r="J11" s="15" t="s">
        <v>206</v>
      </c>
    </row>
    <row r="12" spans="1:10">
      <c r="A12" s="11" t="s">
        <v>95</v>
      </c>
      <c r="B12" s="11" t="s">
        <v>117</v>
      </c>
      <c r="C12" s="11" t="s">
        <v>96</v>
      </c>
      <c r="D12" s="11" t="s">
        <v>96</v>
      </c>
      <c r="E12" s="11" t="s">
        <v>117</v>
      </c>
      <c r="F12" s="12">
        <v>3</v>
      </c>
      <c r="G12" s="12">
        <v>1</v>
      </c>
      <c r="H12" s="13">
        <v>0</v>
      </c>
      <c r="I12" s="14">
        <v>35</v>
      </c>
      <c r="J12" s="15" t="s">
        <v>207</v>
      </c>
    </row>
    <row r="13" spans="1:10">
      <c r="A13" s="11" t="s">
        <v>95</v>
      </c>
      <c r="B13" s="11" t="s">
        <v>109</v>
      </c>
      <c r="C13" s="11" t="s">
        <v>96</v>
      </c>
      <c r="D13" s="11" t="s">
        <v>96</v>
      </c>
      <c r="E13" s="11" t="s">
        <v>109</v>
      </c>
      <c r="F13" s="12">
        <v>3</v>
      </c>
      <c r="G13" s="12">
        <v>3</v>
      </c>
      <c r="H13" s="13">
        <v>1</v>
      </c>
      <c r="I13" s="14">
        <v>1</v>
      </c>
      <c r="J13" s="15" t="s">
        <v>116</v>
      </c>
    </row>
    <row r="14" spans="1:10">
      <c r="A14" s="11" t="s">
        <v>95</v>
      </c>
      <c r="B14" s="11" t="s">
        <v>104</v>
      </c>
      <c r="C14" s="11" t="s">
        <v>119</v>
      </c>
      <c r="D14" s="11" t="s">
        <v>96</v>
      </c>
      <c r="E14" s="11" t="s">
        <v>119</v>
      </c>
      <c r="F14" s="12">
        <v>3</v>
      </c>
      <c r="G14" s="12">
        <v>1</v>
      </c>
      <c r="H14" s="13">
        <v>0.33333333333333326</v>
      </c>
      <c r="I14" s="14">
        <v>5</v>
      </c>
      <c r="J14" s="15" t="s">
        <v>208</v>
      </c>
    </row>
    <row r="15" spans="1:10">
      <c r="A15" s="11" t="s">
        <v>95</v>
      </c>
      <c r="B15" s="11" t="s">
        <v>104</v>
      </c>
      <c r="C15" s="11" t="s">
        <v>111</v>
      </c>
      <c r="D15" s="11" t="s">
        <v>96</v>
      </c>
      <c r="E15" s="11" t="s">
        <v>111</v>
      </c>
      <c r="F15" s="12">
        <v>3</v>
      </c>
      <c r="G15" s="12">
        <v>3</v>
      </c>
      <c r="H15" s="13">
        <v>0</v>
      </c>
      <c r="I15" s="14">
        <v>7.333333333333333</v>
      </c>
      <c r="J15" s="15" t="s">
        <v>209</v>
      </c>
    </row>
    <row r="16" spans="1:10">
      <c r="A16" s="11" t="s">
        <v>95</v>
      </c>
      <c r="B16" s="11" t="s">
        <v>104</v>
      </c>
      <c r="C16" s="11" t="s">
        <v>113</v>
      </c>
      <c r="D16" s="11" t="s">
        <v>96</v>
      </c>
      <c r="E16" s="11" t="s">
        <v>113</v>
      </c>
      <c r="F16" s="12">
        <v>3</v>
      </c>
      <c r="G16" s="12">
        <v>3</v>
      </c>
      <c r="H16" s="13">
        <v>0.66666666666666652</v>
      </c>
      <c r="I16" s="14">
        <v>1</v>
      </c>
      <c r="J16" s="15" t="s">
        <v>114</v>
      </c>
    </row>
    <row r="17" spans="1:10">
      <c r="A17" s="11" t="s">
        <v>95</v>
      </c>
      <c r="B17" s="11" t="s">
        <v>104</v>
      </c>
      <c r="C17" s="11" t="s">
        <v>123</v>
      </c>
      <c r="D17" s="11" t="s">
        <v>96</v>
      </c>
      <c r="E17" s="11" t="s">
        <v>123</v>
      </c>
      <c r="F17" s="12">
        <v>3</v>
      </c>
      <c r="G17" s="12">
        <v>1</v>
      </c>
      <c r="H17" s="13">
        <v>0</v>
      </c>
      <c r="I17" s="14">
        <v>4.666666666666667</v>
      </c>
      <c r="J17" s="15" t="s">
        <v>210</v>
      </c>
    </row>
    <row r="18" spans="1:10">
      <c r="A18" s="11" t="s">
        <v>95</v>
      </c>
      <c r="B18" s="11" t="s">
        <v>115</v>
      </c>
      <c r="C18" s="11" t="s">
        <v>96</v>
      </c>
      <c r="D18" s="11" t="s">
        <v>96</v>
      </c>
      <c r="E18" s="11" t="s">
        <v>115</v>
      </c>
      <c r="F18" s="12">
        <v>2</v>
      </c>
      <c r="G18" s="12">
        <v>2</v>
      </c>
      <c r="H18" s="13">
        <v>1</v>
      </c>
      <c r="I18" s="14">
        <v>1</v>
      </c>
      <c r="J18" s="15" t="s">
        <v>116</v>
      </c>
    </row>
    <row r="19" spans="1:10">
      <c r="A19" s="11" t="s">
        <v>95</v>
      </c>
      <c r="B19" s="11" t="s">
        <v>211</v>
      </c>
      <c r="C19" s="11" t="s">
        <v>212</v>
      </c>
      <c r="D19" s="11" t="s">
        <v>96</v>
      </c>
      <c r="E19" s="11" t="s">
        <v>212</v>
      </c>
      <c r="F19" s="12">
        <v>2</v>
      </c>
      <c r="G19" s="12">
        <v>2</v>
      </c>
      <c r="H19" s="13">
        <v>0</v>
      </c>
      <c r="I19" s="14">
        <v>11.5</v>
      </c>
      <c r="J19" s="15" t="s">
        <v>213</v>
      </c>
    </row>
    <row r="20" spans="1:10">
      <c r="A20" s="11" t="s">
        <v>95</v>
      </c>
      <c r="B20" s="11" t="s">
        <v>104</v>
      </c>
      <c r="C20" s="11" t="s">
        <v>142</v>
      </c>
      <c r="D20" s="11" t="s">
        <v>96</v>
      </c>
      <c r="E20" s="11" t="s">
        <v>142</v>
      </c>
      <c r="F20" s="12">
        <v>2</v>
      </c>
      <c r="G20" s="12">
        <v>1</v>
      </c>
      <c r="H20" s="13">
        <v>0</v>
      </c>
      <c r="I20" s="14">
        <v>17</v>
      </c>
      <c r="J20" s="15" t="s">
        <v>214</v>
      </c>
    </row>
    <row r="21" spans="1:10">
      <c r="A21" s="11" t="s">
        <v>95</v>
      </c>
      <c r="B21" s="11" t="s">
        <v>104</v>
      </c>
      <c r="C21" s="11" t="s">
        <v>148</v>
      </c>
      <c r="D21" s="11" t="s">
        <v>96</v>
      </c>
      <c r="E21" s="11" t="s">
        <v>148</v>
      </c>
      <c r="F21" s="12">
        <v>2</v>
      </c>
      <c r="G21" s="12">
        <v>1</v>
      </c>
      <c r="H21" s="13">
        <v>0</v>
      </c>
      <c r="I21" s="14">
        <v>2.5</v>
      </c>
      <c r="J21" s="15" t="s">
        <v>215</v>
      </c>
    </row>
    <row r="22" spans="1:10">
      <c r="A22" s="11" t="s">
        <v>95</v>
      </c>
      <c r="B22" s="11" t="s">
        <v>104</v>
      </c>
      <c r="C22" s="11" t="s">
        <v>216</v>
      </c>
      <c r="D22" s="11" t="s">
        <v>96</v>
      </c>
      <c r="E22" s="11" t="s">
        <v>216</v>
      </c>
      <c r="F22" s="12">
        <v>2</v>
      </c>
      <c r="G22" s="12">
        <v>2</v>
      </c>
      <c r="H22" s="13">
        <v>0</v>
      </c>
      <c r="I22" s="14">
        <v>7</v>
      </c>
      <c r="J22" s="15" t="s">
        <v>217</v>
      </c>
    </row>
    <row r="23" spans="1:10">
      <c r="A23" s="11" t="s">
        <v>95</v>
      </c>
      <c r="B23" s="11" t="s">
        <v>104</v>
      </c>
      <c r="C23" s="11" t="s">
        <v>182</v>
      </c>
      <c r="D23" s="11" t="s">
        <v>96</v>
      </c>
      <c r="E23" s="11" t="s">
        <v>182</v>
      </c>
      <c r="F23" s="12">
        <v>2</v>
      </c>
      <c r="G23" s="12">
        <v>1</v>
      </c>
      <c r="H23" s="13">
        <v>0</v>
      </c>
      <c r="I23" s="14">
        <v>2</v>
      </c>
      <c r="J23" s="15" t="s">
        <v>218</v>
      </c>
    </row>
    <row r="24" spans="1:10">
      <c r="A24" s="11" t="s">
        <v>95</v>
      </c>
      <c r="B24" s="11" t="s">
        <v>104</v>
      </c>
      <c r="C24" s="11" t="s">
        <v>125</v>
      </c>
      <c r="D24" s="11" t="s">
        <v>96</v>
      </c>
      <c r="E24" s="11" t="s">
        <v>125</v>
      </c>
      <c r="F24" s="12">
        <v>2</v>
      </c>
      <c r="G24" s="12">
        <v>1</v>
      </c>
      <c r="H24" s="13">
        <v>0</v>
      </c>
      <c r="I24" s="14">
        <v>1</v>
      </c>
      <c r="J24" s="15" t="s">
        <v>126</v>
      </c>
    </row>
    <row r="25" spans="1:10">
      <c r="A25" s="11" t="s">
        <v>95</v>
      </c>
      <c r="B25" s="11" t="s">
        <v>104</v>
      </c>
      <c r="C25" s="11" t="s">
        <v>127</v>
      </c>
      <c r="D25" s="11" t="s">
        <v>96</v>
      </c>
      <c r="E25" s="11" t="s">
        <v>127</v>
      </c>
      <c r="F25" s="12">
        <v>2</v>
      </c>
      <c r="G25" s="12">
        <v>2</v>
      </c>
      <c r="H25" s="13">
        <v>0</v>
      </c>
      <c r="I25" s="14">
        <v>1.5</v>
      </c>
      <c r="J25" s="15" t="s">
        <v>128</v>
      </c>
    </row>
    <row r="26" spans="1:10">
      <c r="A26" s="11" t="s">
        <v>95</v>
      </c>
      <c r="B26" s="11" t="s">
        <v>211</v>
      </c>
      <c r="C26" s="11" t="s">
        <v>219</v>
      </c>
      <c r="D26" s="11" t="s">
        <v>96</v>
      </c>
      <c r="E26" s="11" t="s">
        <v>219</v>
      </c>
      <c r="F26" s="12">
        <v>1</v>
      </c>
      <c r="G26" s="12">
        <v>1</v>
      </c>
      <c r="H26" s="13">
        <v>0</v>
      </c>
      <c r="I26" s="14">
        <v>97</v>
      </c>
      <c r="J26" s="15" t="s">
        <v>220</v>
      </c>
    </row>
    <row r="27" spans="1:10">
      <c r="A27" s="11" t="s">
        <v>95</v>
      </c>
      <c r="B27" s="11" t="s">
        <v>211</v>
      </c>
      <c r="C27" s="11" t="s">
        <v>221</v>
      </c>
      <c r="D27" s="11" t="s">
        <v>96</v>
      </c>
      <c r="E27" s="11" t="s">
        <v>221</v>
      </c>
      <c r="F27" s="12">
        <v>1</v>
      </c>
      <c r="G27" s="12">
        <v>1</v>
      </c>
      <c r="H27" s="13">
        <v>0</v>
      </c>
      <c r="I27" s="14">
        <v>39</v>
      </c>
      <c r="J27" s="15" t="s">
        <v>222</v>
      </c>
    </row>
    <row r="28" spans="1:10">
      <c r="A28" s="11" t="s">
        <v>95</v>
      </c>
      <c r="B28" s="11" t="s">
        <v>135</v>
      </c>
      <c r="C28" s="11" t="s">
        <v>96</v>
      </c>
      <c r="D28" s="11" t="s">
        <v>96</v>
      </c>
      <c r="E28" s="11" t="s">
        <v>135</v>
      </c>
      <c r="F28" s="12">
        <v>1</v>
      </c>
      <c r="G28" s="12">
        <v>1</v>
      </c>
      <c r="H28" s="13">
        <v>0</v>
      </c>
      <c r="I28" s="14">
        <v>2</v>
      </c>
      <c r="J28" s="15" t="s">
        <v>223</v>
      </c>
    </row>
    <row r="29" spans="1:10">
      <c r="A29" s="11" t="s">
        <v>95</v>
      </c>
      <c r="B29" s="11" t="s">
        <v>224</v>
      </c>
      <c r="C29" s="11" t="s">
        <v>96</v>
      </c>
      <c r="D29" s="11" t="s">
        <v>96</v>
      </c>
      <c r="E29" s="11" t="s">
        <v>224</v>
      </c>
      <c r="F29" s="12">
        <v>1</v>
      </c>
      <c r="G29" s="12">
        <v>1</v>
      </c>
      <c r="H29" s="13">
        <v>0</v>
      </c>
      <c r="I29" s="14">
        <v>6</v>
      </c>
      <c r="J29" s="15" t="s">
        <v>225</v>
      </c>
    </row>
    <row r="30" spans="1:10">
      <c r="A30" s="11" t="s">
        <v>95</v>
      </c>
      <c r="B30" s="11" t="s">
        <v>137</v>
      </c>
      <c r="C30" s="11" t="s">
        <v>138</v>
      </c>
      <c r="D30" s="11" t="s">
        <v>96</v>
      </c>
      <c r="E30" s="11" t="s">
        <v>138</v>
      </c>
      <c r="F30" s="12">
        <v>1</v>
      </c>
      <c r="G30" s="12">
        <v>1</v>
      </c>
      <c r="H30" s="13">
        <v>0</v>
      </c>
      <c r="I30" s="14">
        <v>3</v>
      </c>
      <c r="J30" s="15" t="s">
        <v>226</v>
      </c>
    </row>
    <row r="31" spans="1:10">
      <c r="A31" s="11" t="s">
        <v>95</v>
      </c>
      <c r="B31" s="11" t="s">
        <v>137</v>
      </c>
      <c r="C31" s="11" t="s">
        <v>227</v>
      </c>
      <c r="D31" s="11" t="s">
        <v>96</v>
      </c>
      <c r="E31" s="11" t="s">
        <v>227</v>
      </c>
      <c r="F31" s="12">
        <v>1</v>
      </c>
      <c r="G31" s="12">
        <v>1</v>
      </c>
      <c r="H31" s="13">
        <v>0</v>
      </c>
      <c r="I31" s="14">
        <v>16</v>
      </c>
      <c r="J31" s="15" t="s">
        <v>228</v>
      </c>
    </row>
    <row r="32" spans="1:10">
      <c r="A32" s="11" t="s">
        <v>95</v>
      </c>
      <c r="B32" s="11" t="s">
        <v>104</v>
      </c>
      <c r="C32" s="11" t="s">
        <v>144</v>
      </c>
      <c r="D32" s="11" t="s">
        <v>96</v>
      </c>
      <c r="E32" s="11" t="s">
        <v>144</v>
      </c>
      <c r="F32" s="12">
        <v>1</v>
      </c>
      <c r="G32" s="12">
        <v>1</v>
      </c>
      <c r="H32" s="13">
        <v>0</v>
      </c>
      <c r="I32" s="14">
        <v>7</v>
      </c>
      <c r="J32" s="15" t="s">
        <v>145</v>
      </c>
    </row>
    <row r="33" spans="1:10">
      <c r="A33" s="11" t="s">
        <v>95</v>
      </c>
      <c r="B33" s="11" t="s">
        <v>104</v>
      </c>
      <c r="C33" s="11" t="s">
        <v>146</v>
      </c>
      <c r="D33" s="11" t="s">
        <v>96</v>
      </c>
      <c r="E33" s="11" t="s">
        <v>146</v>
      </c>
      <c r="F33" s="12">
        <v>1</v>
      </c>
      <c r="G33" s="12">
        <v>1</v>
      </c>
      <c r="H33" s="13">
        <v>0</v>
      </c>
      <c r="I33" s="14">
        <v>2</v>
      </c>
      <c r="J33" s="15" t="s">
        <v>147</v>
      </c>
    </row>
    <row r="34" spans="1:10">
      <c r="A34" s="11" t="s">
        <v>95</v>
      </c>
      <c r="B34" s="11" t="s">
        <v>104</v>
      </c>
      <c r="C34" s="11" t="s">
        <v>149</v>
      </c>
      <c r="D34" s="11" t="s">
        <v>96</v>
      </c>
      <c r="E34" s="11" t="s">
        <v>149</v>
      </c>
      <c r="F34" s="12">
        <v>1</v>
      </c>
      <c r="G34" s="12">
        <v>1</v>
      </c>
      <c r="H34" s="13">
        <v>0</v>
      </c>
      <c r="I34" s="14">
        <v>1</v>
      </c>
      <c r="J34" s="15" t="s">
        <v>126</v>
      </c>
    </row>
    <row r="35" spans="1:10">
      <c r="A35" s="11" t="s">
        <v>95</v>
      </c>
      <c r="B35" s="11" t="s">
        <v>104</v>
      </c>
      <c r="C35" s="11" t="s">
        <v>229</v>
      </c>
      <c r="D35" s="11" t="s">
        <v>96</v>
      </c>
      <c r="E35" s="11" t="s">
        <v>229</v>
      </c>
      <c r="F35" s="12">
        <v>1</v>
      </c>
      <c r="G35" s="12">
        <v>1</v>
      </c>
      <c r="H35" s="13">
        <v>0</v>
      </c>
      <c r="I35" s="14">
        <v>7</v>
      </c>
      <c r="J35" s="15" t="s">
        <v>230</v>
      </c>
    </row>
    <row r="36" spans="1:10">
      <c r="A36" s="11" t="s">
        <v>95</v>
      </c>
      <c r="B36" s="11" t="s">
        <v>104</v>
      </c>
      <c r="C36" s="11" t="s">
        <v>150</v>
      </c>
      <c r="D36" s="11" t="s">
        <v>96</v>
      </c>
      <c r="E36" s="11" t="s">
        <v>150</v>
      </c>
      <c r="F36" s="12">
        <v>1</v>
      </c>
      <c r="G36" s="12">
        <v>1</v>
      </c>
      <c r="H36" s="13">
        <v>1</v>
      </c>
      <c r="I36" s="14">
        <v>1</v>
      </c>
      <c r="J36" s="15" t="s">
        <v>116</v>
      </c>
    </row>
    <row r="37" spans="1:10">
      <c r="A37" s="11" t="s">
        <v>95</v>
      </c>
      <c r="B37" s="11" t="s">
        <v>104</v>
      </c>
      <c r="C37" s="11" t="s">
        <v>151</v>
      </c>
      <c r="D37" s="11" t="s">
        <v>96</v>
      </c>
      <c r="E37" s="11" t="s">
        <v>151</v>
      </c>
      <c r="F37" s="12">
        <v>1</v>
      </c>
      <c r="G37" s="12">
        <v>1</v>
      </c>
      <c r="H37" s="13">
        <v>1</v>
      </c>
      <c r="I37" s="14">
        <v>1</v>
      </c>
      <c r="J37" s="15" t="s">
        <v>116</v>
      </c>
    </row>
    <row r="38" spans="1:10">
      <c r="A38" s="11" t="s">
        <v>95</v>
      </c>
      <c r="B38" s="11" t="s">
        <v>104</v>
      </c>
      <c r="C38" s="11" t="s">
        <v>152</v>
      </c>
      <c r="D38" s="11" t="s">
        <v>96</v>
      </c>
      <c r="E38" s="11" t="s">
        <v>152</v>
      </c>
      <c r="F38" s="12">
        <v>1</v>
      </c>
      <c r="G38" s="12">
        <v>1</v>
      </c>
      <c r="H38" s="13">
        <v>1</v>
      </c>
      <c r="I38" s="14">
        <v>1</v>
      </c>
      <c r="J38" s="15" t="s">
        <v>116</v>
      </c>
    </row>
    <row r="39" spans="1:10">
      <c r="A39" s="11" t="s">
        <v>95</v>
      </c>
      <c r="B39" s="11" t="s">
        <v>104</v>
      </c>
      <c r="C39" s="11" t="s">
        <v>231</v>
      </c>
      <c r="D39" s="11" t="s">
        <v>96</v>
      </c>
      <c r="E39" s="11" t="s">
        <v>231</v>
      </c>
      <c r="F39" s="12">
        <v>1</v>
      </c>
      <c r="G39" s="12">
        <v>1</v>
      </c>
      <c r="H39" s="13">
        <v>0</v>
      </c>
      <c r="I39" s="14">
        <v>2</v>
      </c>
      <c r="J39" s="15" t="s">
        <v>232</v>
      </c>
    </row>
    <row r="40" spans="1:10">
      <c r="A40" s="11" t="s">
        <v>95</v>
      </c>
      <c r="B40" s="11" t="s">
        <v>104</v>
      </c>
      <c r="C40" s="11" t="s">
        <v>153</v>
      </c>
      <c r="D40" s="11" t="s">
        <v>96</v>
      </c>
      <c r="E40" s="11" t="s">
        <v>153</v>
      </c>
      <c r="F40" s="12">
        <v>1</v>
      </c>
      <c r="G40" s="12">
        <v>1</v>
      </c>
      <c r="H40" s="13">
        <v>1</v>
      </c>
      <c r="I40" s="14">
        <v>1</v>
      </c>
      <c r="J40" s="15" t="s">
        <v>116</v>
      </c>
    </row>
    <row r="41" spans="1:10">
      <c r="A41" s="11" t="s">
        <v>95</v>
      </c>
      <c r="B41" s="11" t="s">
        <v>104</v>
      </c>
      <c r="C41" s="11" t="s">
        <v>154</v>
      </c>
      <c r="D41" s="11" t="s">
        <v>96</v>
      </c>
      <c r="E41" s="11" t="s">
        <v>154</v>
      </c>
      <c r="F41" s="12">
        <v>1</v>
      </c>
      <c r="G41" s="12">
        <v>1</v>
      </c>
      <c r="H41" s="13">
        <v>0</v>
      </c>
      <c r="I41" s="14">
        <v>1</v>
      </c>
      <c r="J41" s="15" t="s">
        <v>155</v>
      </c>
    </row>
    <row r="42" spans="1:10">
      <c r="A42" s="11" t="s">
        <v>95</v>
      </c>
      <c r="B42" s="11" t="s">
        <v>104</v>
      </c>
      <c r="C42" s="11" t="s">
        <v>233</v>
      </c>
      <c r="D42" s="11" t="s">
        <v>96</v>
      </c>
      <c r="E42" s="11" t="s">
        <v>233</v>
      </c>
      <c r="F42" s="12">
        <v>1</v>
      </c>
      <c r="G42" s="12">
        <v>1</v>
      </c>
      <c r="H42" s="13">
        <v>0</v>
      </c>
      <c r="I42" s="14">
        <v>2</v>
      </c>
      <c r="J42" s="15" t="s">
        <v>158</v>
      </c>
    </row>
    <row r="43" spans="1:10">
      <c r="A43" s="11" t="s">
        <v>95</v>
      </c>
      <c r="B43" s="11" t="s">
        <v>104</v>
      </c>
      <c r="C43" s="11" t="s">
        <v>156</v>
      </c>
      <c r="D43" s="11" t="s">
        <v>96</v>
      </c>
      <c r="E43" s="11" t="s">
        <v>156</v>
      </c>
      <c r="F43" s="12">
        <v>1</v>
      </c>
      <c r="G43" s="12">
        <v>1</v>
      </c>
      <c r="H43" s="13">
        <v>1</v>
      </c>
      <c r="I43" s="14">
        <v>1</v>
      </c>
      <c r="J43" s="15" t="s">
        <v>116</v>
      </c>
    </row>
    <row r="44" spans="1:10">
      <c r="A44" s="11" t="s">
        <v>95</v>
      </c>
      <c r="B44" s="11" t="s">
        <v>104</v>
      </c>
      <c r="C44" s="11" t="s">
        <v>234</v>
      </c>
      <c r="D44" s="11" t="s">
        <v>96</v>
      </c>
      <c r="E44" s="11" t="s">
        <v>234</v>
      </c>
      <c r="F44" s="12">
        <v>1</v>
      </c>
      <c r="G44" s="12">
        <v>1</v>
      </c>
      <c r="H44" s="13">
        <v>0</v>
      </c>
      <c r="I44" s="14">
        <v>2</v>
      </c>
      <c r="J44" s="15" t="s">
        <v>235</v>
      </c>
    </row>
    <row r="45" spans="1:10">
      <c r="A45" s="11" t="s">
        <v>95</v>
      </c>
      <c r="B45" s="11" t="s">
        <v>104</v>
      </c>
      <c r="C45" s="11" t="s">
        <v>161</v>
      </c>
      <c r="D45" s="11" t="s">
        <v>96</v>
      </c>
      <c r="E45" s="11" t="s">
        <v>161</v>
      </c>
      <c r="F45" s="12">
        <v>1</v>
      </c>
      <c r="G45" s="12">
        <v>1</v>
      </c>
      <c r="H45" s="13">
        <v>0</v>
      </c>
      <c r="I45" s="14">
        <v>1</v>
      </c>
      <c r="J45" s="15" t="s">
        <v>162</v>
      </c>
    </row>
    <row r="46" spans="1:10">
      <c r="A46" s="11" t="s">
        <v>95</v>
      </c>
      <c r="B46" s="11" t="s">
        <v>104</v>
      </c>
      <c r="C46" s="11" t="s">
        <v>163</v>
      </c>
      <c r="D46" s="11" t="s">
        <v>96</v>
      </c>
      <c r="E46" s="11" t="s">
        <v>163</v>
      </c>
      <c r="F46" s="12">
        <v>1</v>
      </c>
      <c r="G46" s="12">
        <v>1</v>
      </c>
      <c r="H46" s="13">
        <v>0</v>
      </c>
      <c r="I46" s="14">
        <v>2</v>
      </c>
      <c r="J46" s="15" t="s">
        <v>164</v>
      </c>
    </row>
    <row r="47" spans="1:10">
      <c r="A47" s="11" t="s">
        <v>95</v>
      </c>
      <c r="B47" s="11" t="s">
        <v>104</v>
      </c>
      <c r="C47" s="11" t="s">
        <v>165</v>
      </c>
      <c r="D47" s="11" t="s">
        <v>96</v>
      </c>
      <c r="E47" s="11" t="s">
        <v>165</v>
      </c>
      <c r="F47" s="12">
        <v>1</v>
      </c>
      <c r="G47" s="12">
        <v>1</v>
      </c>
      <c r="H47" s="13">
        <v>1</v>
      </c>
      <c r="I47" s="14">
        <v>1</v>
      </c>
      <c r="J47" s="15" t="s">
        <v>116</v>
      </c>
    </row>
    <row r="48" spans="1:10">
      <c r="A48" s="11" t="s">
        <v>95</v>
      </c>
      <c r="B48" s="11" t="s">
        <v>104</v>
      </c>
      <c r="C48" s="11" t="s">
        <v>166</v>
      </c>
      <c r="D48" s="11" t="s">
        <v>96</v>
      </c>
      <c r="E48" s="11" t="s">
        <v>166</v>
      </c>
      <c r="F48" s="12">
        <v>1</v>
      </c>
      <c r="G48" s="12">
        <v>1</v>
      </c>
      <c r="H48" s="13">
        <v>1</v>
      </c>
      <c r="I48" s="14">
        <v>1</v>
      </c>
      <c r="J48" s="15" t="s">
        <v>116</v>
      </c>
    </row>
    <row r="49" spans="1:10">
      <c r="A49" s="11" t="s">
        <v>95</v>
      </c>
      <c r="B49" s="11" t="s">
        <v>104</v>
      </c>
      <c r="C49" s="11" t="s">
        <v>169</v>
      </c>
      <c r="D49" s="11" t="s">
        <v>96</v>
      </c>
      <c r="E49" s="11" t="s">
        <v>169</v>
      </c>
      <c r="F49" s="12">
        <v>1</v>
      </c>
      <c r="G49" s="12">
        <v>1</v>
      </c>
      <c r="H49" s="13">
        <v>1</v>
      </c>
      <c r="I49" s="14">
        <v>1</v>
      </c>
      <c r="J49" s="15" t="s">
        <v>116</v>
      </c>
    </row>
    <row r="50" spans="1:10">
      <c r="A50" s="11" t="s">
        <v>95</v>
      </c>
      <c r="B50" s="11" t="s">
        <v>104</v>
      </c>
      <c r="C50" s="11" t="s">
        <v>236</v>
      </c>
      <c r="D50" s="11" t="s">
        <v>96</v>
      </c>
      <c r="E50" s="11" t="s">
        <v>236</v>
      </c>
      <c r="F50" s="12">
        <v>1</v>
      </c>
      <c r="G50" s="12">
        <v>1</v>
      </c>
      <c r="H50" s="13">
        <v>0</v>
      </c>
      <c r="I50" s="14">
        <v>7</v>
      </c>
      <c r="J50" s="15" t="s">
        <v>160</v>
      </c>
    </row>
    <row r="51" spans="1:10">
      <c r="A51" s="11" t="s">
        <v>95</v>
      </c>
      <c r="B51" s="11" t="s">
        <v>104</v>
      </c>
      <c r="C51" s="11" t="s">
        <v>237</v>
      </c>
      <c r="D51" s="11" t="s">
        <v>96</v>
      </c>
      <c r="E51" s="11" t="s">
        <v>237</v>
      </c>
      <c r="F51" s="12">
        <v>1</v>
      </c>
      <c r="G51" s="12">
        <v>1</v>
      </c>
      <c r="H51" s="13">
        <v>0</v>
      </c>
      <c r="I51" s="14">
        <v>3</v>
      </c>
      <c r="J51" s="15" t="s">
        <v>238</v>
      </c>
    </row>
    <row r="52" spans="1:10">
      <c r="A52" s="11" t="s">
        <v>95</v>
      </c>
      <c r="B52" s="11" t="s">
        <v>104</v>
      </c>
      <c r="C52" s="11" t="s">
        <v>170</v>
      </c>
      <c r="D52" s="11" t="s">
        <v>96</v>
      </c>
      <c r="E52" s="11" t="s">
        <v>170</v>
      </c>
      <c r="F52" s="12">
        <v>1</v>
      </c>
      <c r="G52" s="12">
        <v>1</v>
      </c>
      <c r="H52" s="13">
        <v>0</v>
      </c>
      <c r="I52" s="14">
        <v>35</v>
      </c>
      <c r="J52" s="15" t="s">
        <v>239</v>
      </c>
    </row>
    <row r="53" spans="1:10">
      <c r="A53" s="11" t="s">
        <v>95</v>
      </c>
      <c r="B53" s="11" t="s">
        <v>104</v>
      </c>
      <c r="C53" s="11" t="s">
        <v>172</v>
      </c>
      <c r="D53" s="11" t="s">
        <v>96</v>
      </c>
      <c r="E53" s="11" t="s">
        <v>172</v>
      </c>
      <c r="F53" s="12">
        <v>1</v>
      </c>
      <c r="G53" s="12">
        <v>1</v>
      </c>
      <c r="H53" s="13">
        <v>1</v>
      </c>
      <c r="I53" s="14">
        <v>1</v>
      </c>
      <c r="J53" s="15" t="s">
        <v>116</v>
      </c>
    </row>
    <row r="54" spans="1:10">
      <c r="A54" s="11" t="s">
        <v>95</v>
      </c>
      <c r="B54" s="11" t="s">
        <v>104</v>
      </c>
      <c r="C54" s="11" t="s">
        <v>240</v>
      </c>
      <c r="D54" s="11" t="s">
        <v>96</v>
      </c>
      <c r="E54" s="11" t="s">
        <v>240</v>
      </c>
      <c r="F54" s="12">
        <v>1</v>
      </c>
      <c r="G54" s="12">
        <v>1</v>
      </c>
      <c r="H54" s="13">
        <v>0</v>
      </c>
      <c r="I54" s="14">
        <v>13</v>
      </c>
      <c r="J54" s="15" t="s">
        <v>241</v>
      </c>
    </row>
    <row r="55" spans="1:10">
      <c r="A55" s="11" t="s">
        <v>95</v>
      </c>
      <c r="B55" s="11" t="s">
        <v>104</v>
      </c>
      <c r="C55" s="11" t="s">
        <v>173</v>
      </c>
      <c r="D55" s="11" t="s">
        <v>96</v>
      </c>
      <c r="E55" s="11" t="s">
        <v>173</v>
      </c>
      <c r="F55" s="12">
        <v>1</v>
      </c>
      <c r="G55" s="12">
        <v>1</v>
      </c>
      <c r="H55" s="13">
        <v>0</v>
      </c>
      <c r="I55" s="14">
        <v>1</v>
      </c>
      <c r="J55" s="15" t="s">
        <v>174</v>
      </c>
    </row>
    <row r="56" spans="1:10">
      <c r="A56" s="11" t="s">
        <v>95</v>
      </c>
      <c r="B56" s="11" t="s">
        <v>104</v>
      </c>
      <c r="C56" s="11" t="s">
        <v>175</v>
      </c>
      <c r="D56" s="11" t="s">
        <v>96</v>
      </c>
      <c r="E56" s="11" t="s">
        <v>175</v>
      </c>
      <c r="F56" s="12">
        <v>1</v>
      </c>
      <c r="G56" s="12">
        <v>1</v>
      </c>
      <c r="H56" s="13">
        <v>1</v>
      </c>
      <c r="I56" s="14">
        <v>1</v>
      </c>
      <c r="J56" s="15" t="s">
        <v>116</v>
      </c>
    </row>
    <row r="57" spans="1:10">
      <c r="A57" s="11" t="s">
        <v>95</v>
      </c>
      <c r="B57" s="11" t="s">
        <v>104</v>
      </c>
      <c r="C57" s="11" t="s">
        <v>176</v>
      </c>
      <c r="D57" s="11" t="s">
        <v>96</v>
      </c>
      <c r="E57" s="11" t="s">
        <v>176</v>
      </c>
      <c r="F57" s="12">
        <v>1</v>
      </c>
      <c r="G57" s="12">
        <v>1</v>
      </c>
      <c r="H57" s="13">
        <v>0</v>
      </c>
      <c r="I57" s="14">
        <v>1</v>
      </c>
      <c r="J57" s="15" t="s">
        <v>158</v>
      </c>
    </row>
    <row r="58" spans="1:10">
      <c r="A58" s="11" t="s">
        <v>95</v>
      </c>
      <c r="B58" s="11" t="s">
        <v>104</v>
      </c>
      <c r="C58" s="11" t="s">
        <v>177</v>
      </c>
      <c r="D58" s="11" t="s">
        <v>96</v>
      </c>
      <c r="E58" s="11" t="s">
        <v>177</v>
      </c>
      <c r="F58" s="12">
        <v>1</v>
      </c>
      <c r="G58" s="12">
        <v>1</v>
      </c>
      <c r="H58" s="13">
        <v>0</v>
      </c>
      <c r="I58" s="14">
        <v>1</v>
      </c>
      <c r="J58" s="15" t="s">
        <v>162</v>
      </c>
    </row>
    <row r="59" spans="1:10">
      <c r="A59" s="11" t="s">
        <v>95</v>
      </c>
      <c r="B59" s="11" t="s">
        <v>104</v>
      </c>
      <c r="C59" s="11" t="s">
        <v>178</v>
      </c>
      <c r="D59" s="11" t="s">
        <v>96</v>
      </c>
      <c r="E59" s="11" t="s">
        <v>178</v>
      </c>
      <c r="F59" s="12">
        <v>1</v>
      </c>
      <c r="G59" s="12">
        <v>1</v>
      </c>
      <c r="H59" s="13">
        <v>0</v>
      </c>
      <c r="I59" s="14">
        <v>1</v>
      </c>
      <c r="J59" s="15" t="s">
        <v>179</v>
      </c>
    </row>
    <row r="60" spans="1:10">
      <c r="A60" s="11" t="s">
        <v>95</v>
      </c>
      <c r="B60" s="11" t="s">
        <v>104</v>
      </c>
      <c r="C60" s="11" t="s">
        <v>242</v>
      </c>
      <c r="D60" s="11" t="s">
        <v>96</v>
      </c>
      <c r="E60" s="11" t="s">
        <v>242</v>
      </c>
      <c r="F60" s="12">
        <v>1</v>
      </c>
      <c r="G60" s="12">
        <v>1</v>
      </c>
      <c r="H60" s="13">
        <v>0</v>
      </c>
      <c r="I60" s="14">
        <v>2</v>
      </c>
      <c r="J60" s="15" t="s">
        <v>243</v>
      </c>
    </row>
    <row r="61" spans="1:10">
      <c r="A61" s="11" t="s">
        <v>95</v>
      </c>
      <c r="B61" s="11" t="s">
        <v>104</v>
      </c>
      <c r="C61" s="11" t="s">
        <v>244</v>
      </c>
      <c r="D61" s="11" t="s">
        <v>96</v>
      </c>
      <c r="E61" s="11" t="s">
        <v>244</v>
      </c>
      <c r="F61" s="12">
        <v>1</v>
      </c>
      <c r="G61" s="12">
        <v>1</v>
      </c>
      <c r="H61" s="13">
        <v>0</v>
      </c>
      <c r="I61" s="14">
        <v>6</v>
      </c>
      <c r="J61" s="15" t="s">
        <v>245</v>
      </c>
    </row>
    <row r="62" spans="1:10">
      <c r="A62" s="11" t="s">
        <v>95</v>
      </c>
      <c r="B62" s="11" t="s">
        <v>104</v>
      </c>
      <c r="C62" s="11" t="s">
        <v>246</v>
      </c>
      <c r="D62" s="11" t="s">
        <v>96</v>
      </c>
      <c r="E62" s="11" t="s">
        <v>246</v>
      </c>
      <c r="F62" s="12">
        <v>1</v>
      </c>
      <c r="G62" s="12">
        <v>1</v>
      </c>
      <c r="H62" s="13">
        <v>0</v>
      </c>
      <c r="I62" s="14">
        <v>16</v>
      </c>
      <c r="J62" s="15" t="s">
        <v>247</v>
      </c>
    </row>
    <row r="63" spans="1:10">
      <c r="A63" s="11" t="s">
        <v>95</v>
      </c>
      <c r="B63" s="11" t="s">
        <v>104</v>
      </c>
      <c r="C63" s="11" t="s">
        <v>248</v>
      </c>
      <c r="D63" s="11" t="s">
        <v>96</v>
      </c>
      <c r="E63" s="11" t="s">
        <v>248</v>
      </c>
      <c r="F63" s="12">
        <v>1</v>
      </c>
      <c r="G63" s="12">
        <v>1</v>
      </c>
      <c r="H63" s="13">
        <v>0</v>
      </c>
      <c r="I63" s="14">
        <v>6</v>
      </c>
      <c r="J63" s="15" t="s">
        <v>249</v>
      </c>
    </row>
    <row r="64" spans="1:10">
      <c r="A64" s="11" t="s">
        <v>95</v>
      </c>
      <c r="B64" s="11" t="s">
        <v>104</v>
      </c>
      <c r="C64" s="11" t="s">
        <v>185</v>
      </c>
      <c r="D64" s="11" t="s">
        <v>96</v>
      </c>
      <c r="E64" s="11" t="s">
        <v>185</v>
      </c>
      <c r="F64" s="12">
        <v>1</v>
      </c>
      <c r="G64" s="12">
        <v>1</v>
      </c>
      <c r="H64" s="13">
        <v>1</v>
      </c>
      <c r="I64" s="14">
        <v>1</v>
      </c>
      <c r="J64" s="15" t="s">
        <v>116</v>
      </c>
    </row>
    <row r="65" spans="1:10">
      <c r="A65" s="11" t="s">
        <v>95</v>
      </c>
      <c r="B65" s="11" t="s">
        <v>104</v>
      </c>
      <c r="C65" s="11" t="s">
        <v>250</v>
      </c>
      <c r="D65" s="11" t="s">
        <v>96</v>
      </c>
      <c r="E65" s="11" t="s">
        <v>250</v>
      </c>
      <c r="F65" s="12">
        <v>1</v>
      </c>
      <c r="G65" s="12">
        <v>1</v>
      </c>
      <c r="H65" s="13">
        <v>0</v>
      </c>
      <c r="I65" s="14">
        <v>3</v>
      </c>
      <c r="J65" s="15" t="s">
        <v>251</v>
      </c>
    </row>
    <row r="66" spans="1:10">
      <c r="A66" s="11" t="s">
        <v>95</v>
      </c>
      <c r="B66" s="11" t="s">
        <v>104</v>
      </c>
      <c r="C66" s="11" t="s">
        <v>186</v>
      </c>
      <c r="D66" s="11" t="s">
        <v>96</v>
      </c>
      <c r="E66" s="11" t="s">
        <v>186</v>
      </c>
      <c r="F66" s="12">
        <v>1</v>
      </c>
      <c r="G66" s="12">
        <v>1</v>
      </c>
      <c r="H66" s="13">
        <v>1</v>
      </c>
      <c r="I66" s="14">
        <v>1</v>
      </c>
      <c r="J66" s="15" t="s">
        <v>116</v>
      </c>
    </row>
    <row r="67" spans="1:10">
      <c r="A67" s="11" t="s">
        <v>95</v>
      </c>
      <c r="B67" s="11" t="s">
        <v>104</v>
      </c>
      <c r="C67" s="11" t="s">
        <v>187</v>
      </c>
      <c r="D67" s="11" t="s">
        <v>96</v>
      </c>
      <c r="E67" s="11" t="s">
        <v>187</v>
      </c>
      <c r="F67" s="12">
        <v>1</v>
      </c>
      <c r="G67" s="12">
        <v>1</v>
      </c>
      <c r="H67" s="13">
        <v>0</v>
      </c>
      <c r="I67" s="14">
        <v>1</v>
      </c>
      <c r="J67" s="15" t="s">
        <v>126</v>
      </c>
    </row>
    <row r="68" spans="1:10">
      <c r="A68" s="11" t="s">
        <v>95</v>
      </c>
      <c r="B68" s="11" t="s">
        <v>104</v>
      </c>
      <c r="C68" s="11" t="s">
        <v>188</v>
      </c>
      <c r="D68" s="11" t="s">
        <v>96</v>
      </c>
      <c r="E68" s="11" t="s">
        <v>188</v>
      </c>
      <c r="F68" s="12">
        <v>1</v>
      </c>
      <c r="G68" s="12">
        <v>1</v>
      </c>
      <c r="H68" s="13">
        <v>0</v>
      </c>
      <c r="I68" s="14">
        <v>1</v>
      </c>
      <c r="J68" s="15" t="s">
        <v>155</v>
      </c>
    </row>
    <row r="69" spans="1:10">
      <c r="A69" s="11" t="s">
        <v>95</v>
      </c>
      <c r="B69" s="11" t="s">
        <v>104</v>
      </c>
      <c r="C69" s="11" t="s">
        <v>189</v>
      </c>
      <c r="D69" s="11" t="s">
        <v>96</v>
      </c>
      <c r="E69" s="11" t="s">
        <v>189</v>
      </c>
      <c r="F69" s="12">
        <v>1</v>
      </c>
      <c r="G69" s="12">
        <v>1</v>
      </c>
      <c r="H69" s="13">
        <v>0</v>
      </c>
      <c r="I69" s="14">
        <v>1</v>
      </c>
      <c r="J69" s="15" t="s">
        <v>155</v>
      </c>
    </row>
  </sheetData>
  <mergeCells count="1"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selection sqref="A1:A1048576"/>
    </sheetView>
  </sheetViews>
  <sheetFormatPr defaultRowHeight="15"/>
  <cols>
    <col min="1" max="1" width="10.42578125" style="7" bestFit="1" customWidth="1"/>
    <col min="2" max="2" width="29.140625" bestFit="1" customWidth="1"/>
    <col min="3" max="3" width="28.7109375" bestFit="1" customWidth="1"/>
  </cols>
  <sheetData>
    <row r="1" spans="1:3">
      <c r="A1" s="53" t="s">
        <v>0</v>
      </c>
      <c r="B1" s="16" t="s">
        <v>190</v>
      </c>
      <c r="C1" s="16" t="s">
        <v>1</v>
      </c>
    </row>
    <row r="2" spans="1:3">
      <c r="A2" s="54" t="s">
        <v>2</v>
      </c>
      <c r="B2" s="17">
        <v>0</v>
      </c>
      <c r="C2" s="17">
        <v>0</v>
      </c>
    </row>
    <row r="3" spans="1:3">
      <c r="A3" s="54" t="s">
        <v>3</v>
      </c>
      <c r="B3" s="17">
        <v>0</v>
      </c>
      <c r="C3" s="17">
        <v>0</v>
      </c>
    </row>
    <row r="4" spans="1:3">
      <c r="A4" s="54" t="s">
        <v>4</v>
      </c>
      <c r="B4" s="17">
        <v>23</v>
      </c>
      <c r="C4" s="17">
        <v>23</v>
      </c>
    </row>
    <row r="5" spans="1:3">
      <c r="A5" s="54" t="s">
        <v>5</v>
      </c>
      <c r="B5" s="17">
        <v>26</v>
      </c>
      <c r="C5" s="17">
        <v>26</v>
      </c>
    </row>
    <row r="6" spans="1:3">
      <c r="A6" s="54" t="s">
        <v>6</v>
      </c>
      <c r="B6" s="17">
        <v>7</v>
      </c>
      <c r="C6" s="17">
        <v>7</v>
      </c>
    </row>
    <row r="7" spans="1:3">
      <c r="A7" s="54" t="s">
        <v>7</v>
      </c>
      <c r="B7" s="17">
        <v>5</v>
      </c>
      <c r="C7" s="17">
        <v>5</v>
      </c>
    </row>
    <row r="8" spans="1:3">
      <c r="A8" s="54" t="s">
        <v>8</v>
      </c>
      <c r="B8" s="17">
        <v>4</v>
      </c>
      <c r="C8" s="17">
        <v>4</v>
      </c>
    </row>
    <row r="9" spans="1:3">
      <c r="A9" s="54" t="s">
        <v>9</v>
      </c>
      <c r="B9" s="17">
        <v>1</v>
      </c>
      <c r="C9" s="17">
        <v>1</v>
      </c>
    </row>
    <row r="10" spans="1:3">
      <c r="A10" s="54" t="s">
        <v>10</v>
      </c>
      <c r="B10" s="17">
        <v>2</v>
      </c>
      <c r="C10" s="17">
        <v>2</v>
      </c>
    </row>
    <row r="11" spans="1:3">
      <c r="A11" s="54" t="s">
        <v>11</v>
      </c>
      <c r="B11" s="17">
        <v>21</v>
      </c>
      <c r="C11" s="17">
        <v>21</v>
      </c>
    </row>
    <row r="12" spans="1:3">
      <c r="A12" s="54" t="s">
        <v>12</v>
      </c>
      <c r="B12" s="17">
        <v>5</v>
      </c>
      <c r="C12" s="17">
        <v>5</v>
      </c>
    </row>
    <row r="13" spans="1:3">
      <c r="A13" s="54" t="s">
        <v>13</v>
      </c>
      <c r="B13" s="17">
        <v>2</v>
      </c>
      <c r="C13" s="17">
        <v>2</v>
      </c>
    </row>
    <row r="14" spans="1:3">
      <c r="A14" s="54" t="s">
        <v>14</v>
      </c>
      <c r="B14" s="17">
        <v>1</v>
      </c>
      <c r="C14" s="17">
        <v>1</v>
      </c>
    </row>
    <row r="15" spans="1:3">
      <c r="A15" s="54" t="s">
        <v>15</v>
      </c>
      <c r="B15" s="17">
        <v>6</v>
      </c>
      <c r="C15" s="17">
        <v>6</v>
      </c>
    </row>
    <row r="16" spans="1:3">
      <c r="A16" s="54" t="s">
        <v>16</v>
      </c>
      <c r="B16" s="17">
        <v>1</v>
      </c>
      <c r="C16" s="17">
        <v>1</v>
      </c>
    </row>
    <row r="17" spans="1:3">
      <c r="A17" s="54" t="s">
        <v>17</v>
      </c>
      <c r="B17" s="17">
        <v>8</v>
      </c>
      <c r="C17" s="17">
        <v>8</v>
      </c>
    </row>
    <row r="18" spans="1:3">
      <c r="A18" s="54" t="s">
        <v>18</v>
      </c>
      <c r="B18" s="17">
        <v>6</v>
      </c>
      <c r="C18" s="17">
        <v>6</v>
      </c>
    </row>
    <row r="19" spans="1:3">
      <c r="A19" s="54" t="s">
        <v>19</v>
      </c>
      <c r="B19" s="17">
        <v>12</v>
      </c>
      <c r="C19" s="17">
        <v>12</v>
      </c>
    </row>
    <row r="20" spans="1:3">
      <c r="A20" s="54" t="s">
        <v>20</v>
      </c>
      <c r="B20" s="17">
        <v>14</v>
      </c>
      <c r="C20" s="17">
        <v>14</v>
      </c>
    </row>
    <row r="21" spans="1:3">
      <c r="A21" s="54" t="s">
        <v>21</v>
      </c>
      <c r="B21" s="17">
        <v>14</v>
      </c>
      <c r="C21" s="17">
        <v>14</v>
      </c>
    </row>
    <row r="22" spans="1:3">
      <c r="A22" s="54" t="s">
        <v>22</v>
      </c>
      <c r="B22" s="17">
        <v>9</v>
      </c>
      <c r="C22" s="17">
        <v>9</v>
      </c>
    </row>
    <row r="23" spans="1:3">
      <c r="A23" s="54" t="s">
        <v>23</v>
      </c>
      <c r="B23" s="17">
        <v>5</v>
      </c>
      <c r="C23" s="17">
        <v>5</v>
      </c>
    </row>
    <row r="24" spans="1:3">
      <c r="A24" s="54" t="s">
        <v>24</v>
      </c>
      <c r="B24" s="17">
        <v>1</v>
      </c>
      <c r="C24" s="17">
        <v>1</v>
      </c>
    </row>
    <row r="25" spans="1:3">
      <c r="A25" s="54" t="s">
        <v>25</v>
      </c>
      <c r="B25" s="17">
        <v>6</v>
      </c>
      <c r="C25" s="17">
        <v>6</v>
      </c>
    </row>
    <row r="26" spans="1:3">
      <c r="A26" s="54" t="s">
        <v>26</v>
      </c>
      <c r="B26" s="17">
        <v>14</v>
      </c>
      <c r="C26" s="17">
        <v>14</v>
      </c>
    </row>
    <row r="27" spans="1:3">
      <c r="A27" s="54" t="s">
        <v>27</v>
      </c>
      <c r="B27" s="17">
        <v>10</v>
      </c>
      <c r="C27" s="17">
        <v>10</v>
      </c>
    </row>
    <row r="28" spans="1:3">
      <c r="A28" s="54" t="s">
        <v>28</v>
      </c>
      <c r="B28" s="17">
        <v>17</v>
      </c>
      <c r="C28" s="17">
        <v>17</v>
      </c>
    </row>
    <row r="29" spans="1:3">
      <c r="A29" s="54" t="s">
        <v>29</v>
      </c>
      <c r="B29" s="17">
        <v>6</v>
      </c>
      <c r="C29" s="17">
        <v>6</v>
      </c>
    </row>
    <row r="30" spans="1:3">
      <c r="A30" s="54" t="s">
        <v>30</v>
      </c>
      <c r="B30" s="17">
        <v>1</v>
      </c>
      <c r="C30" s="17">
        <v>1</v>
      </c>
    </row>
    <row r="31" spans="1:3">
      <c r="A31" s="54" t="s">
        <v>31</v>
      </c>
      <c r="B31" s="17">
        <v>1</v>
      </c>
      <c r="C31" s="17">
        <v>1</v>
      </c>
    </row>
    <row r="32" spans="1:3">
      <c r="A32" s="54" t="s">
        <v>32</v>
      </c>
      <c r="B32" s="17">
        <v>2</v>
      </c>
      <c r="C32" s="17">
        <v>2</v>
      </c>
    </row>
    <row r="33" spans="1:3">
      <c r="A33" s="54" t="s">
        <v>33</v>
      </c>
      <c r="B33" s="17">
        <v>4</v>
      </c>
      <c r="C33" s="17">
        <v>4</v>
      </c>
    </row>
    <row r="34" spans="1:3">
      <c r="A34" s="54" t="s">
        <v>34</v>
      </c>
      <c r="B34" s="17">
        <v>2</v>
      </c>
      <c r="C34" s="17">
        <v>2</v>
      </c>
    </row>
    <row r="35" spans="1:3">
      <c r="A35" s="54" t="s">
        <v>35</v>
      </c>
      <c r="B35" s="17">
        <v>4</v>
      </c>
      <c r="C35" s="17">
        <v>4</v>
      </c>
    </row>
    <row r="36" spans="1:3">
      <c r="A36" s="54" t="s">
        <v>36</v>
      </c>
      <c r="B36" s="17">
        <v>0</v>
      </c>
      <c r="C36" s="17">
        <v>0</v>
      </c>
    </row>
    <row r="37" spans="1:3">
      <c r="A37" s="54" t="s">
        <v>37</v>
      </c>
      <c r="B37" s="17">
        <v>4</v>
      </c>
      <c r="C37" s="17">
        <v>4</v>
      </c>
    </row>
    <row r="38" spans="1:3">
      <c r="A38" s="54" t="s">
        <v>38</v>
      </c>
      <c r="B38" s="17">
        <v>3</v>
      </c>
      <c r="C38" s="17">
        <v>3</v>
      </c>
    </row>
    <row r="39" spans="1:3">
      <c r="A39" s="54" t="s">
        <v>39</v>
      </c>
      <c r="B39" s="17">
        <v>0</v>
      </c>
      <c r="C39" s="17">
        <v>0</v>
      </c>
    </row>
    <row r="40" spans="1:3">
      <c r="A40" s="54" t="s">
        <v>40</v>
      </c>
      <c r="B40" s="17">
        <v>1</v>
      </c>
      <c r="C40" s="17">
        <v>1</v>
      </c>
    </row>
    <row r="41" spans="1:3">
      <c r="A41" s="54" t="s">
        <v>41</v>
      </c>
      <c r="B41" s="17">
        <v>2</v>
      </c>
      <c r="C41" s="17">
        <v>2</v>
      </c>
    </row>
    <row r="42" spans="1:3">
      <c r="A42" s="54" t="s">
        <v>42</v>
      </c>
      <c r="B42" s="17">
        <v>2</v>
      </c>
      <c r="C42" s="17">
        <v>2</v>
      </c>
    </row>
    <row r="43" spans="1:3">
      <c r="A43" s="54" t="s">
        <v>43</v>
      </c>
      <c r="B43" s="17">
        <v>1</v>
      </c>
      <c r="C43" s="17">
        <v>1</v>
      </c>
    </row>
    <row r="44" spans="1:3">
      <c r="A44" s="54" t="s">
        <v>44</v>
      </c>
      <c r="B44" s="17">
        <v>1</v>
      </c>
      <c r="C44" s="17">
        <v>1</v>
      </c>
    </row>
    <row r="45" spans="1:3">
      <c r="A45" s="54" t="s">
        <v>45</v>
      </c>
      <c r="B45" s="17">
        <v>3</v>
      </c>
      <c r="C45" s="17">
        <v>3</v>
      </c>
    </row>
    <row r="46" spans="1:3">
      <c r="A46" s="54" t="s">
        <v>46</v>
      </c>
      <c r="B46" s="17">
        <v>2</v>
      </c>
      <c r="C46" s="17">
        <v>2</v>
      </c>
    </row>
    <row r="47" spans="1:3">
      <c r="A47" s="54" t="s">
        <v>47</v>
      </c>
      <c r="B47" s="17">
        <v>4</v>
      </c>
      <c r="C47" s="17">
        <v>4</v>
      </c>
    </row>
    <row r="48" spans="1:3">
      <c r="A48" s="54" t="s">
        <v>48</v>
      </c>
      <c r="B48" s="17">
        <v>8</v>
      </c>
      <c r="C48" s="17">
        <v>8</v>
      </c>
    </row>
    <row r="49" spans="1:3">
      <c r="A49" s="54" t="s">
        <v>49</v>
      </c>
      <c r="B49" s="17">
        <v>1</v>
      </c>
      <c r="C49" s="17">
        <v>1</v>
      </c>
    </row>
    <row r="50" spans="1:3">
      <c r="A50" s="54" t="s">
        <v>50</v>
      </c>
      <c r="B50" s="17">
        <v>1</v>
      </c>
      <c r="C50" s="17">
        <v>1</v>
      </c>
    </row>
    <row r="51" spans="1:3">
      <c r="A51" s="54" t="s">
        <v>51</v>
      </c>
      <c r="B51" s="17">
        <v>1</v>
      </c>
      <c r="C51" s="17">
        <v>1</v>
      </c>
    </row>
    <row r="52" spans="1:3">
      <c r="A52" s="54" t="s">
        <v>52</v>
      </c>
      <c r="B52" s="17">
        <v>2</v>
      </c>
      <c r="C52" s="17">
        <v>2</v>
      </c>
    </row>
    <row r="53" spans="1:3">
      <c r="A53" s="54" t="s">
        <v>53</v>
      </c>
      <c r="B53" s="17">
        <v>0</v>
      </c>
      <c r="C53" s="17">
        <v>0</v>
      </c>
    </row>
    <row r="54" spans="1:3">
      <c r="A54" s="54" t="s">
        <v>54</v>
      </c>
      <c r="B54" s="17">
        <v>0</v>
      </c>
      <c r="C54" s="17">
        <v>0</v>
      </c>
    </row>
    <row r="55" spans="1:3">
      <c r="A55" s="54" t="s">
        <v>55</v>
      </c>
      <c r="B55" s="17">
        <v>6</v>
      </c>
      <c r="C55" s="17">
        <v>6</v>
      </c>
    </row>
    <row r="56" spans="1:3">
      <c r="A56" s="54" t="s">
        <v>56</v>
      </c>
      <c r="B56" s="17">
        <v>2</v>
      </c>
      <c r="C56" s="17">
        <v>2</v>
      </c>
    </row>
    <row r="57" spans="1:3">
      <c r="A57" s="54" t="s">
        <v>57</v>
      </c>
      <c r="B57" s="17">
        <v>3</v>
      </c>
      <c r="C57" s="17">
        <v>3</v>
      </c>
    </row>
    <row r="58" spans="1:3">
      <c r="A58" s="54" t="s">
        <v>58</v>
      </c>
      <c r="B58" s="17">
        <v>0</v>
      </c>
      <c r="C58" s="17">
        <v>0</v>
      </c>
    </row>
    <row r="59" spans="1:3">
      <c r="A59" s="54" t="s">
        <v>59</v>
      </c>
      <c r="B59" s="17">
        <v>1</v>
      </c>
      <c r="C59" s="17">
        <v>1</v>
      </c>
    </row>
    <row r="60" spans="1:3">
      <c r="A60" s="54" t="s">
        <v>60</v>
      </c>
      <c r="B60" s="17">
        <v>5</v>
      </c>
      <c r="C60" s="17">
        <v>5</v>
      </c>
    </row>
    <row r="61" spans="1:3">
      <c r="A61" s="54" t="s">
        <v>61</v>
      </c>
      <c r="B61" s="17">
        <v>1</v>
      </c>
      <c r="C61" s="17">
        <v>1</v>
      </c>
    </row>
    <row r="62" spans="1:3">
      <c r="A62" s="54" t="s">
        <v>62</v>
      </c>
      <c r="B62" s="17">
        <v>1</v>
      </c>
      <c r="C62" s="17">
        <v>1</v>
      </c>
    </row>
    <row r="63" spans="1:3">
      <c r="A63" s="54" t="s">
        <v>63</v>
      </c>
      <c r="B63" s="17">
        <v>0</v>
      </c>
      <c r="C63" s="17">
        <v>0</v>
      </c>
    </row>
    <row r="64" spans="1:3">
      <c r="A64" s="54" t="s">
        <v>64</v>
      </c>
      <c r="B64" s="17">
        <v>1</v>
      </c>
      <c r="C64" s="17">
        <v>1</v>
      </c>
    </row>
    <row r="65" spans="1:3">
      <c r="A65" s="54" t="s">
        <v>65</v>
      </c>
      <c r="B65" s="17">
        <v>0</v>
      </c>
      <c r="C65" s="17">
        <v>0</v>
      </c>
    </row>
    <row r="66" spans="1:3">
      <c r="A66" s="54" t="s">
        <v>66</v>
      </c>
      <c r="B66" s="17">
        <v>2</v>
      </c>
      <c r="C66" s="17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14" sqref="C14"/>
    </sheetView>
  </sheetViews>
  <sheetFormatPr defaultRowHeight="15"/>
  <cols>
    <col min="1" max="1" width="30.85546875" bestFit="1" customWidth="1"/>
    <col min="2" max="2" width="33" bestFit="1" customWidth="1"/>
    <col min="3" max="3" width="8.85546875" bestFit="1" customWidth="1"/>
    <col min="4" max="4" width="13.42578125" bestFit="1" customWidth="1"/>
    <col min="5" max="5" width="8.7109375" bestFit="1" customWidth="1"/>
    <col min="6" max="6" width="21.85546875" bestFit="1" customWidth="1"/>
    <col min="7" max="7" width="17.5703125" bestFit="1" customWidth="1"/>
  </cols>
  <sheetData>
    <row r="1" spans="1:7">
      <c r="A1" s="18" t="s">
        <v>252</v>
      </c>
      <c r="B1" s="18" t="s">
        <v>253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72</v>
      </c>
    </row>
    <row r="2" spans="1:7">
      <c r="A2" s="71" t="s">
        <v>73</v>
      </c>
      <c r="B2" s="71" t="s">
        <v>94</v>
      </c>
      <c r="C2" s="20">
        <v>298</v>
      </c>
      <c r="D2" s="20">
        <v>109</v>
      </c>
      <c r="E2" s="21">
        <v>0.29865771812080538</v>
      </c>
      <c r="F2" s="22">
        <v>7.1006711409395971</v>
      </c>
      <c r="G2" s="23" t="s">
        <v>74</v>
      </c>
    </row>
    <row r="3" spans="1:7">
      <c r="A3" s="19" t="s">
        <v>254</v>
      </c>
      <c r="B3" s="19" t="s">
        <v>96</v>
      </c>
      <c r="C3" s="20">
        <v>110</v>
      </c>
      <c r="D3" s="20">
        <v>79</v>
      </c>
      <c r="E3" s="21">
        <v>0.42727272727272725</v>
      </c>
      <c r="F3" s="22">
        <v>3.4909090909090907</v>
      </c>
      <c r="G3" s="23" t="s">
        <v>255</v>
      </c>
    </row>
    <row r="4" spans="1:7">
      <c r="A4" s="19" t="s">
        <v>256</v>
      </c>
      <c r="B4" s="19" t="s">
        <v>257</v>
      </c>
      <c r="C4" s="20">
        <v>96</v>
      </c>
      <c r="D4" s="20">
        <v>5</v>
      </c>
      <c r="E4" s="21">
        <v>0.1875</v>
      </c>
      <c r="F4" s="22">
        <v>10.729166666666666</v>
      </c>
      <c r="G4" s="23" t="s">
        <v>258</v>
      </c>
    </row>
    <row r="5" spans="1:7">
      <c r="A5" s="19" t="s">
        <v>259</v>
      </c>
      <c r="B5" s="19" t="s">
        <v>96</v>
      </c>
      <c r="C5" s="20">
        <v>28</v>
      </c>
      <c r="D5" s="20">
        <v>11</v>
      </c>
      <c r="E5" s="21">
        <v>0.21428571428571427</v>
      </c>
      <c r="F5" s="22">
        <v>5.6428571428571432</v>
      </c>
      <c r="G5" s="23" t="s">
        <v>260</v>
      </c>
    </row>
    <row r="6" spans="1:7">
      <c r="A6" s="19" t="s">
        <v>261</v>
      </c>
      <c r="B6" s="19" t="s">
        <v>262</v>
      </c>
      <c r="C6" s="20">
        <v>25</v>
      </c>
      <c r="D6" s="20">
        <v>3</v>
      </c>
      <c r="E6" s="21">
        <v>0.12</v>
      </c>
      <c r="F6" s="22">
        <v>18.16</v>
      </c>
      <c r="G6" s="23" t="s">
        <v>263</v>
      </c>
    </row>
    <row r="7" spans="1:7">
      <c r="A7" s="19" t="s">
        <v>256</v>
      </c>
      <c r="B7" s="19" t="s">
        <v>264</v>
      </c>
      <c r="C7" s="20">
        <v>21</v>
      </c>
      <c r="D7" s="20">
        <v>19</v>
      </c>
      <c r="E7" s="21">
        <v>0.33333333333333326</v>
      </c>
      <c r="F7" s="22">
        <v>1.1428571428571428</v>
      </c>
      <c r="G7" s="23" t="s">
        <v>265</v>
      </c>
    </row>
    <row r="8" spans="1:7">
      <c r="A8" s="19" t="s">
        <v>261</v>
      </c>
      <c r="B8" s="19" t="s">
        <v>266</v>
      </c>
      <c r="C8" s="20">
        <v>11</v>
      </c>
      <c r="D8" s="20">
        <v>1</v>
      </c>
      <c r="E8" s="21">
        <v>0.27272727272727271</v>
      </c>
      <c r="F8" s="22">
        <v>5.2727272727272725</v>
      </c>
      <c r="G8" s="23" t="s">
        <v>267</v>
      </c>
    </row>
    <row r="9" spans="1:7">
      <c r="A9" s="19" t="s">
        <v>261</v>
      </c>
      <c r="B9" s="19" t="s">
        <v>268</v>
      </c>
      <c r="C9" s="20">
        <v>5</v>
      </c>
      <c r="D9" s="20">
        <v>5</v>
      </c>
      <c r="E9" s="21">
        <v>0.8</v>
      </c>
      <c r="F9" s="22">
        <v>1.2</v>
      </c>
      <c r="G9" s="23" t="s">
        <v>269</v>
      </c>
    </row>
    <row r="10" spans="1:7">
      <c r="A10" s="19" t="s">
        <v>261</v>
      </c>
      <c r="B10" s="19" t="s">
        <v>270</v>
      </c>
      <c r="C10" s="20">
        <v>1</v>
      </c>
      <c r="D10" s="20">
        <v>1</v>
      </c>
      <c r="E10" s="21">
        <v>1</v>
      </c>
      <c r="F10" s="22">
        <v>1</v>
      </c>
      <c r="G10" s="23" t="s">
        <v>116</v>
      </c>
    </row>
    <row r="11" spans="1:7">
      <c r="A11" s="19" t="s">
        <v>261</v>
      </c>
      <c r="B11" s="19" t="s">
        <v>271</v>
      </c>
      <c r="C11" s="20">
        <v>1</v>
      </c>
      <c r="D11" s="20">
        <v>1</v>
      </c>
      <c r="E11" s="21">
        <v>0</v>
      </c>
      <c r="F11" s="22">
        <v>1</v>
      </c>
      <c r="G11" s="23" t="s">
        <v>155</v>
      </c>
    </row>
  </sheetData>
  <mergeCells count="1"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opLeftCell="A32" workbookViewId="0">
      <selection activeCell="B38" sqref="B38:B55"/>
    </sheetView>
  </sheetViews>
  <sheetFormatPr defaultRowHeight="15"/>
  <cols>
    <col min="1" max="1" width="10.42578125" style="7" customWidth="1"/>
    <col min="2" max="2" width="46.28515625" bestFit="1" customWidth="1"/>
    <col min="3" max="3" width="28.7109375" bestFit="1" customWidth="1"/>
    <col min="4" max="4" width="46.7109375" bestFit="1" customWidth="1"/>
    <col min="5" max="5" width="35.5703125" bestFit="1" customWidth="1"/>
    <col min="6" max="6" width="28.7109375" bestFit="1" customWidth="1"/>
  </cols>
  <sheetData>
    <row r="1" spans="1:6">
      <c r="A1" s="53" t="s">
        <v>0</v>
      </c>
      <c r="B1" s="24" t="s">
        <v>272</v>
      </c>
      <c r="C1" s="24" t="s">
        <v>273</v>
      </c>
      <c r="D1" s="24" t="s">
        <v>274</v>
      </c>
      <c r="E1" s="24" t="s">
        <v>275</v>
      </c>
      <c r="F1" s="24" t="s">
        <v>1</v>
      </c>
    </row>
    <row r="2" spans="1:6">
      <c r="A2" s="7">
        <v>46082</v>
      </c>
      <c r="B2" s="25">
        <v>0</v>
      </c>
      <c r="C2" s="25">
        <v>0</v>
      </c>
      <c r="D2" s="25">
        <v>0</v>
      </c>
      <c r="E2" s="25">
        <v>0</v>
      </c>
      <c r="F2" s="25">
        <v>0</v>
      </c>
    </row>
    <row r="3" spans="1:6">
      <c r="A3" s="7">
        <v>46083</v>
      </c>
      <c r="B3" s="25">
        <v>0</v>
      </c>
      <c r="C3" s="25">
        <v>0</v>
      </c>
      <c r="D3" s="25">
        <v>0</v>
      </c>
      <c r="E3" s="25">
        <v>0</v>
      </c>
      <c r="F3" s="25">
        <v>0</v>
      </c>
    </row>
    <row r="4" spans="1:6">
      <c r="A4" s="7">
        <v>46084</v>
      </c>
      <c r="B4" s="25">
        <v>0</v>
      </c>
      <c r="C4" s="25">
        <v>13</v>
      </c>
      <c r="D4" s="25">
        <v>6</v>
      </c>
      <c r="E4" s="25">
        <v>4</v>
      </c>
      <c r="F4" s="25">
        <v>23</v>
      </c>
    </row>
    <row r="5" spans="1:6">
      <c r="A5" s="7">
        <v>46085</v>
      </c>
      <c r="B5" s="25">
        <v>0</v>
      </c>
      <c r="C5" s="25">
        <v>15</v>
      </c>
      <c r="D5" s="25">
        <v>9</v>
      </c>
      <c r="E5" s="25">
        <v>2</v>
      </c>
      <c r="F5" s="25">
        <v>26</v>
      </c>
    </row>
    <row r="6" spans="1:6">
      <c r="A6" s="7">
        <v>46086</v>
      </c>
      <c r="B6" s="25">
        <v>0</v>
      </c>
      <c r="C6" s="25">
        <v>5</v>
      </c>
      <c r="D6" s="25">
        <v>2</v>
      </c>
      <c r="E6" s="25">
        <v>0</v>
      </c>
      <c r="F6" s="25">
        <v>7</v>
      </c>
    </row>
    <row r="7" spans="1:6">
      <c r="A7" s="7">
        <v>46087</v>
      </c>
      <c r="B7" s="25">
        <v>0</v>
      </c>
      <c r="C7" s="25">
        <v>2</v>
      </c>
      <c r="D7" s="25">
        <v>3</v>
      </c>
      <c r="E7" s="25">
        <v>0</v>
      </c>
      <c r="F7" s="25">
        <v>5</v>
      </c>
    </row>
    <row r="8" spans="1:6">
      <c r="A8" s="7">
        <v>46088</v>
      </c>
      <c r="B8" s="25">
        <v>1</v>
      </c>
      <c r="C8" s="25">
        <v>2</v>
      </c>
      <c r="D8" s="25">
        <v>1</v>
      </c>
      <c r="E8" s="25">
        <v>0</v>
      </c>
      <c r="F8" s="25">
        <v>4</v>
      </c>
    </row>
    <row r="9" spans="1:6">
      <c r="A9" s="7">
        <v>46089</v>
      </c>
      <c r="B9" s="25">
        <v>0</v>
      </c>
      <c r="C9" s="25">
        <v>0</v>
      </c>
      <c r="D9" s="25">
        <v>1</v>
      </c>
      <c r="E9" s="25">
        <v>0</v>
      </c>
      <c r="F9" s="25">
        <v>1</v>
      </c>
    </row>
    <row r="10" spans="1:6">
      <c r="A10" s="7">
        <v>46090</v>
      </c>
      <c r="B10" s="25">
        <v>0</v>
      </c>
      <c r="C10" s="25">
        <v>1</v>
      </c>
      <c r="D10" s="25">
        <v>1</v>
      </c>
      <c r="E10" s="25">
        <v>0</v>
      </c>
      <c r="F10" s="25">
        <v>2</v>
      </c>
    </row>
    <row r="11" spans="1:6">
      <c r="A11" s="7">
        <v>46091</v>
      </c>
      <c r="B11" s="25">
        <v>0</v>
      </c>
      <c r="C11" s="25">
        <v>8</v>
      </c>
      <c r="D11" s="25">
        <v>9</v>
      </c>
      <c r="E11" s="25">
        <v>4</v>
      </c>
      <c r="F11" s="25">
        <v>21</v>
      </c>
    </row>
    <row r="12" spans="1:6">
      <c r="A12" s="7">
        <v>46092</v>
      </c>
      <c r="B12" s="25">
        <v>1</v>
      </c>
      <c r="C12" s="25">
        <v>0</v>
      </c>
      <c r="D12" s="25">
        <v>2</v>
      </c>
      <c r="E12" s="25">
        <v>2</v>
      </c>
      <c r="F12" s="25">
        <v>5</v>
      </c>
    </row>
    <row r="13" spans="1:6">
      <c r="A13" s="7">
        <v>46093</v>
      </c>
      <c r="B13" s="25">
        <v>1</v>
      </c>
      <c r="C13" s="25">
        <v>1</v>
      </c>
      <c r="D13" s="25">
        <v>0</v>
      </c>
      <c r="E13" s="25">
        <v>0</v>
      </c>
      <c r="F13" s="25">
        <v>2</v>
      </c>
    </row>
    <row r="14" spans="1:6">
      <c r="A14" s="7">
        <v>46094</v>
      </c>
      <c r="B14" s="25">
        <v>0</v>
      </c>
      <c r="C14" s="25">
        <v>0</v>
      </c>
      <c r="D14" s="25">
        <v>1</v>
      </c>
      <c r="E14" s="25">
        <v>0</v>
      </c>
      <c r="F14" s="25">
        <v>1</v>
      </c>
    </row>
    <row r="15" spans="1:6">
      <c r="A15" s="7">
        <v>46095</v>
      </c>
      <c r="B15" s="25">
        <v>5</v>
      </c>
      <c r="C15" s="25">
        <v>1</v>
      </c>
      <c r="D15" s="25">
        <v>0</v>
      </c>
      <c r="E15" s="25">
        <v>0</v>
      </c>
      <c r="F15" s="25">
        <v>6</v>
      </c>
    </row>
    <row r="16" spans="1:6">
      <c r="A16" s="7">
        <v>46096</v>
      </c>
      <c r="B16" s="25">
        <v>0</v>
      </c>
      <c r="C16" s="25">
        <v>1</v>
      </c>
      <c r="D16" s="25">
        <v>0</v>
      </c>
      <c r="E16" s="25">
        <v>0</v>
      </c>
      <c r="F16" s="25">
        <v>1</v>
      </c>
    </row>
    <row r="17" spans="1:6">
      <c r="A17" s="7">
        <v>46097</v>
      </c>
      <c r="B17" s="25">
        <v>6</v>
      </c>
      <c r="C17" s="25">
        <v>2</v>
      </c>
      <c r="D17" s="25">
        <v>0</v>
      </c>
      <c r="E17" s="25">
        <v>0</v>
      </c>
      <c r="F17" s="25">
        <v>8</v>
      </c>
    </row>
    <row r="18" spans="1:6">
      <c r="A18" s="7">
        <v>46098</v>
      </c>
      <c r="B18" s="25">
        <v>1</v>
      </c>
      <c r="C18" s="25">
        <v>4</v>
      </c>
      <c r="D18" s="25">
        <v>0</v>
      </c>
      <c r="E18" s="25">
        <v>1</v>
      </c>
      <c r="F18" s="25">
        <v>6</v>
      </c>
    </row>
    <row r="19" spans="1:6">
      <c r="A19" s="7">
        <v>46099</v>
      </c>
      <c r="B19" s="25">
        <v>7</v>
      </c>
      <c r="C19" s="25">
        <v>4</v>
      </c>
      <c r="D19" s="25">
        <v>0</v>
      </c>
      <c r="E19" s="25">
        <v>1</v>
      </c>
      <c r="F19" s="25">
        <v>12</v>
      </c>
    </row>
    <row r="20" spans="1:6">
      <c r="A20" s="7">
        <v>46100</v>
      </c>
      <c r="B20" s="25">
        <v>5</v>
      </c>
      <c r="C20" s="25">
        <v>6</v>
      </c>
      <c r="D20" s="25">
        <v>0</v>
      </c>
      <c r="E20" s="25">
        <v>3</v>
      </c>
      <c r="F20" s="25">
        <v>14</v>
      </c>
    </row>
    <row r="21" spans="1:6">
      <c r="A21" s="7">
        <v>46101</v>
      </c>
      <c r="B21" s="25">
        <v>4</v>
      </c>
      <c r="C21" s="25">
        <v>7</v>
      </c>
      <c r="D21" s="25">
        <v>0</v>
      </c>
      <c r="E21" s="25">
        <v>3</v>
      </c>
      <c r="F21" s="25">
        <v>14</v>
      </c>
    </row>
    <row r="22" spans="1:6">
      <c r="A22" s="7">
        <v>46102</v>
      </c>
      <c r="B22" s="25">
        <v>3</v>
      </c>
      <c r="C22" s="25">
        <v>3</v>
      </c>
      <c r="D22" s="25">
        <v>0</v>
      </c>
      <c r="E22" s="25">
        <v>3</v>
      </c>
      <c r="F22" s="25">
        <v>9</v>
      </c>
    </row>
    <row r="23" spans="1:6">
      <c r="A23" s="7">
        <v>46103</v>
      </c>
      <c r="B23" s="25">
        <v>3</v>
      </c>
      <c r="C23" s="25">
        <v>1</v>
      </c>
      <c r="D23" s="25">
        <v>1</v>
      </c>
      <c r="E23" s="25">
        <v>0</v>
      </c>
      <c r="F23" s="25">
        <v>5</v>
      </c>
    </row>
    <row r="24" spans="1:6">
      <c r="A24" s="7">
        <v>46104</v>
      </c>
      <c r="B24" s="25">
        <v>1</v>
      </c>
      <c r="C24" s="25">
        <v>0</v>
      </c>
      <c r="D24" s="25">
        <v>0</v>
      </c>
      <c r="E24" s="25">
        <v>0</v>
      </c>
      <c r="F24" s="25">
        <v>1</v>
      </c>
    </row>
    <row r="25" spans="1:6">
      <c r="A25" s="7">
        <v>46105</v>
      </c>
      <c r="B25" s="25">
        <v>3</v>
      </c>
      <c r="C25" s="25">
        <v>3</v>
      </c>
      <c r="D25" s="25">
        <v>0</v>
      </c>
      <c r="E25" s="25">
        <v>0</v>
      </c>
      <c r="F25" s="25">
        <v>6</v>
      </c>
    </row>
    <row r="26" spans="1:6">
      <c r="A26" s="7">
        <v>46106</v>
      </c>
      <c r="B26" s="25">
        <v>9</v>
      </c>
      <c r="C26" s="25">
        <v>3</v>
      </c>
      <c r="D26" s="25">
        <v>0</v>
      </c>
      <c r="E26" s="25">
        <v>2</v>
      </c>
      <c r="F26" s="25">
        <v>14</v>
      </c>
    </row>
    <row r="27" spans="1:6">
      <c r="A27" s="7">
        <v>46107</v>
      </c>
      <c r="B27" s="25">
        <v>7</v>
      </c>
      <c r="C27" s="25">
        <v>3</v>
      </c>
      <c r="D27" s="25">
        <v>0</v>
      </c>
      <c r="E27" s="25">
        <v>0</v>
      </c>
      <c r="F27" s="25">
        <v>10</v>
      </c>
    </row>
    <row r="28" spans="1:6">
      <c r="A28" s="7">
        <v>46108</v>
      </c>
      <c r="B28" s="25">
        <v>10</v>
      </c>
      <c r="C28" s="25">
        <v>4</v>
      </c>
      <c r="D28" s="25">
        <v>1</v>
      </c>
      <c r="E28" s="25">
        <v>2</v>
      </c>
      <c r="F28" s="25">
        <v>17</v>
      </c>
    </row>
    <row r="29" spans="1:6">
      <c r="A29" s="7">
        <v>46109</v>
      </c>
      <c r="B29" s="25">
        <v>4</v>
      </c>
      <c r="C29" s="25">
        <v>2</v>
      </c>
      <c r="D29" s="25">
        <v>0</v>
      </c>
      <c r="E29" s="25">
        <v>0</v>
      </c>
      <c r="F29" s="25">
        <v>6</v>
      </c>
    </row>
    <row r="30" spans="1:6">
      <c r="A30" s="7">
        <v>46110</v>
      </c>
      <c r="B30" s="25">
        <v>0</v>
      </c>
      <c r="C30" s="25">
        <v>1</v>
      </c>
      <c r="D30" s="25">
        <v>0</v>
      </c>
      <c r="E30" s="25">
        <v>0</v>
      </c>
      <c r="F30" s="25">
        <v>1</v>
      </c>
    </row>
    <row r="31" spans="1:6">
      <c r="A31" s="7">
        <v>46111</v>
      </c>
      <c r="B31" s="25">
        <v>1</v>
      </c>
      <c r="C31" s="25">
        <v>0</v>
      </c>
      <c r="D31" s="25">
        <v>0</v>
      </c>
      <c r="E31" s="25">
        <v>0</v>
      </c>
      <c r="F31" s="25">
        <v>1</v>
      </c>
    </row>
    <row r="32" spans="1:6">
      <c r="A32" s="7">
        <v>46112</v>
      </c>
      <c r="B32" s="25">
        <v>1</v>
      </c>
      <c r="C32" s="25">
        <v>0</v>
      </c>
      <c r="D32" s="25">
        <v>1</v>
      </c>
      <c r="E32" s="25">
        <v>0</v>
      </c>
      <c r="F32" s="25">
        <v>2</v>
      </c>
    </row>
    <row r="33" spans="1:6">
      <c r="A33" s="7">
        <v>46113</v>
      </c>
      <c r="B33" s="25">
        <v>3</v>
      </c>
      <c r="C33" s="25">
        <v>1</v>
      </c>
      <c r="D33" s="25">
        <v>0</v>
      </c>
      <c r="E33" s="25">
        <v>0</v>
      </c>
      <c r="F33" s="25">
        <v>4</v>
      </c>
    </row>
    <row r="34" spans="1:6">
      <c r="A34" s="7">
        <v>46114</v>
      </c>
      <c r="B34" s="25">
        <v>0</v>
      </c>
      <c r="C34" s="25">
        <v>2</v>
      </c>
      <c r="D34" s="25">
        <v>0</v>
      </c>
      <c r="E34" s="25">
        <v>0</v>
      </c>
      <c r="F34" s="25">
        <v>2</v>
      </c>
    </row>
    <row r="35" spans="1:6">
      <c r="A35" s="7">
        <v>46115</v>
      </c>
      <c r="B35" s="25">
        <v>3</v>
      </c>
      <c r="C35" s="25">
        <v>1</v>
      </c>
      <c r="D35" s="25">
        <v>0</v>
      </c>
      <c r="E35" s="25">
        <v>0</v>
      </c>
      <c r="F35" s="25">
        <v>4</v>
      </c>
    </row>
    <row r="36" spans="1:6">
      <c r="A36" s="7">
        <v>46116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</row>
    <row r="37" spans="1:6">
      <c r="A37" s="7">
        <v>46117</v>
      </c>
      <c r="B37" s="25">
        <v>2</v>
      </c>
      <c r="C37" s="25">
        <v>1</v>
      </c>
      <c r="D37" s="25">
        <v>1</v>
      </c>
      <c r="E37" s="25">
        <v>0</v>
      </c>
      <c r="F37" s="25">
        <v>4</v>
      </c>
    </row>
    <row r="38" spans="1:6">
      <c r="A38" s="7">
        <v>46118</v>
      </c>
      <c r="B38" s="25">
        <v>1</v>
      </c>
      <c r="C38" s="25">
        <v>1</v>
      </c>
      <c r="D38" s="25">
        <v>0</v>
      </c>
      <c r="E38" s="25">
        <v>1</v>
      </c>
      <c r="F38" s="25">
        <v>3</v>
      </c>
    </row>
    <row r="39" spans="1:6">
      <c r="A39" s="7">
        <v>46119</v>
      </c>
      <c r="B39" s="25">
        <v>0</v>
      </c>
      <c r="C39" s="25">
        <v>0</v>
      </c>
      <c r="D39" s="25">
        <v>0</v>
      </c>
      <c r="E39" s="25">
        <v>0</v>
      </c>
      <c r="F39" s="25">
        <v>0</v>
      </c>
    </row>
    <row r="40" spans="1:6">
      <c r="A40" s="7">
        <v>46120</v>
      </c>
      <c r="B40" s="25">
        <v>0</v>
      </c>
      <c r="C40" s="25">
        <v>0</v>
      </c>
      <c r="D40" s="25">
        <v>1</v>
      </c>
      <c r="E40" s="25">
        <v>0</v>
      </c>
      <c r="F40" s="25">
        <v>1</v>
      </c>
    </row>
    <row r="41" spans="1:6">
      <c r="A41" s="7">
        <v>46121</v>
      </c>
      <c r="B41" s="25">
        <v>1</v>
      </c>
      <c r="C41" s="25">
        <v>1</v>
      </c>
      <c r="D41" s="25">
        <v>0</v>
      </c>
      <c r="E41" s="25">
        <v>0</v>
      </c>
      <c r="F41" s="25">
        <v>2</v>
      </c>
    </row>
    <row r="42" spans="1:6">
      <c r="A42" s="7">
        <v>46122</v>
      </c>
      <c r="B42" s="25">
        <v>0</v>
      </c>
      <c r="C42" s="25">
        <v>2</v>
      </c>
      <c r="D42" s="25">
        <v>0</v>
      </c>
      <c r="E42" s="25">
        <v>0</v>
      </c>
      <c r="F42" s="25">
        <v>2</v>
      </c>
    </row>
    <row r="43" spans="1:6">
      <c r="A43" s="7">
        <v>46123</v>
      </c>
      <c r="B43" s="25">
        <v>0</v>
      </c>
      <c r="C43" s="25">
        <v>0</v>
      </c>
      <c r="D43" s="25">
        <v>1</v>
      </c>
      <c r="E43" s="25">
        <v>0</v>
      </c>
      <c r="F43" s="25">
        <v>1</v>
      </c>
    </row>
    <row r="44" spans="1:6">
      <c r="A44" s="7">
        <v>46124</v>
      </c>
      <c r="B44" s="25">
        <v>0</v>
      </c>
      <c r="C44" s="25">
        <v>1</v>
      </c>
      <c r="D44" s="25">
        <v>0</v>
      </c>
      <c r="E44" s="25">
        <v>0</v>
      </c>
      <c r="F44" s="25">
        <v>1</v>
      </c>
    </row>
    <row r="45" spans="1:6">
      <c r="A45" s="7">
        <v>46125</v>
      </c>
      <c r="B45" s="25">
        <v>2</v>
      </c>
      <c r="C45" s="25">
        <v>1</v>
      </c>
      <c r="D45" s="25">
        <v>0</v>
      </c>
      <c r="E45" s="25">
        <v>0</v>
      </c>
      <c r="F45" s="25">
        <v>3</v>
      </c>
    </row>
    <row r="46" spans="1:6">
      <c r="A46" s="7">
        <v>46126</v>
      </c>
      <c r="B46" s="25">
        <v>2</v>
      </c>
      <c r="C46" s="25">
        <v>0</v>
      </c>
      <c r="D46" s="25">
        <v>0</v>
      </c>
      <c r="E46" s="25">
        <v>0</v>
      </c>
      <c r="F46" s="25">
        <v>2</v>
      </c>
    </row>
    <row r="47" spans="1:6">
      <c r="A47" s="7">
        <v>46127</v>
      </c>
      <c r="B47" s="25">
        <v>4</v>
      </c>
      <c r="C47" s="25">
        <v>0</v>
      </c>
      <c r="D47" s="25">
        <v>0</v>
      </c>
      <c r="E47" s="25">
        <v>0</v>
      </c>
      <c r="F47" s="25">
        <v>4</v>
      </c>
    </row>
    <row r="48" spans="1:6">
      <c r="A48" s="7">
        <v>46128</v>
      </c>
      <c r="B48" s="25">
        <v>6</v>
      </c>
      <c r="C48" s="25">
        <v>2</v>
      </c>
      <c r="D48" s="25">
        <v>0</v>
      </c>
      <c r="E48" s="25">
        <v>0</v>
      </c>
      <c r="F48" s="25">
        <v>8</v>
      </c>
    </row>
    <row r="49" spans="1:6">
      <c r="A49" s="7">
        <v>46129</v>
      </c>
      <c r="B49" s="25">
        <v>1</v>
      </c>
      <c r="C49" s="25">
        <v>0</v>
      </c>
      <c r="D49" s="25">
        <v>0</v>
      </c>
      <c r="E49" s="25">
        <v>0</v>
      </c>
      <c r="F49" s="25">
        <v>1</v>
      </c>
    </row>
    <row r="50" spans="1:6">
      <c r="A50" s="7">
        <v>46130</v>
      </c>
      <c r="B50" s="25">
        <v>1</v>
      </c>
      <c r="C50" s="25">
        <v>0</v>
      </c>
      <c r="D50" s="25">
        <v>0</v>
      </c>
      <c r="E50" s="25">
        <v>0</v>
      </c>
      <c r="F50" s="25">
        <v>1</v>
      </c>
    </row>
    <row r="51" spans="1:6">
      <c r="A51" s="7">
        <v>46131</v>
      </c>
      <c r="B51" s="25">
        <v>0</v>
      </c>
      <c r="C51" s="25">
        <v>1</v>
      </c>
      <c r="D51" s="25">
        <v>0</v>
      </c>
      <c r="E51" s="25">
        <v>0</v>
      </c>
      <c r="F51" s="25">
        <v>1</v>
      </c>
    </row>
    <row r="52" spans="1:6">
      <c r="A52" s="7">
        <v>46132</v>
      </c>
      <c r="B52" s="25">
        <v>2</v>
      </c>
      <c r="C52" s="25">
        <v>0</v>
      </c>
      <c r="D52" s="25">
        <v>0</v>
      </c>
      <c r="E52" s="25">
        <v>0</v>
      </c>
      <c r="F52" s="25">
        <v>2</v>
      </c>
    </row>
    <row r="53" spans="1:6">
      <c r="A53" s="7">
        <v>46133</v>
      </c>
      <c r="B53" s="25">
        <v>0</v>
      </c>
      <c r="C53" s="25">
        <v>0</v>
      </c>
      <c r="D53" s="25">
        <v>0</v>
      </c>
      <c r="E53" s="25">
        <v>0</v>
      </c>
      <c r="F53" s="25">
        <v>0</v>
      </c>
    </row>
    <row r="54" spans="1:6">
      <c r="A54" s="7">
        <v>46134</v>
      </c>
      <c r="B54" s="25">
        <v>0</v>
      </c>
      <c r="C54" s="25">
        <v>0</v>
      </c>
      <c r="D54" s="25">
        <v>0</v>
      </c>
      <c r="E54" s="25">
        <v>0</v>
      </c>
      <c r="F54" s="25">
        <v>0</v>
      </c>
    </row>
    <row r="55" spans="1:6">
      <c r="A55" s="7">
        <v>46135</v>
      </c>
      <c r="B55" s="25">
        <v>2</v>
      </c>
      <c r="C55" s="25">
        <v>3</v>
      </c>
      <c r="D55" s="25">
        <v>1</v>
      </c>
      <c r="E55" s="25">
        <v>0</v>
      </c>
      <c r="F55" s="25">
        <v>6</v>
      </c>
    </row>
    <row r="56" spans="1:6">
      <c r="A56" s="7">
        <v>46136</v>
      </c>
      <c r="B56" s="25">
        <v>2</v>
      </c>
      <c r="C56" s="25">
        <v>0</v>
      </c>
      <c r="D56" s="25">
        <v>0</v>
      </c>
      <c r="E56" s="25">
        <v>0</v>
      </c>
      <c r="F56" s="25">
        <v>2</v>
      </c>
    </row>
    <row r="57" spans="1:6">
      <c r="A57" s="7">
        <v>46137</v>
      </c>
      <c r="B57" s="25">
        <v>3</v>
      </c>
      <c r="C57" s="25">
        <v>0</v>
      </c>
      <c r="D57" s="25">
        <v>0</v>
      </c>
      <c r="E57" s="25">
        <v>0</v>
      </c>
      <c r="F57" s="25">
        <v>3</v>
      </c>
    </row>
    <row r="58" spans="1:6">
      <c r="A58" s="7">
        <v>46138</v>
      </c>
      <c r="B58" s="25">
        <v>0</v>
      </c>
      <c r="C58" s="25">
        <v>0</v>
      </c>
      <c r="D58" s="25">
        <v>0</v>
      </c>
      <c r="E58" s="25">
        <v>0</v>
      </c>
      <c r="F58" s="25">
        <v>0</v>
      </c>
    </row>
    <row r="59" spans="1:6">
      <c r="A59" s="7">
        <v>46139</v>
      </c>
      <c r="B59" s="25">
        <v>1</v>
      </c>
      <c r="C59" s="25">
        <v>0</v>
      </c>
      <c r="D59" s="25">
        <v>0</v>
      </c>
      <c r="E59" s="25">
        <v>0</v>
      </c>
      <c r="F59" s="25">
        <v>1</v>
      </c>
    </row>
    <row r="60" spans="1:6">
      <c r="A60" s="7">
        <v>46140</v>
      </c>
      <c r="B60" s="25">
        <v>4</v>
      </c>
      <c r="C60" s="25">
        <v>1</v>
      </c>
      <c r="D60" s="25">
        <v>0</v>
      </c>
      <c r="E60" s="25">
        <v>0</v>
      </c>
      <c r="F60" s="25">
        <v>5</v>
      </c>
    </row>
    <row r="61" spans="1:6">
      <c r="A61" s="7">
        <v>46141</v>
      </c>
      <c r="B61" s="25">
        <v>1</v>
      </c>
      <c r="C61" s="25">
        <v>0</v>
      </c>
      <c r="D61" s="25">
        <v>0</v>
      </c>
      <c r="E61" s="25">
        <v>0</v>
      </c>
      <c r="F61" s="25">
        <v>1</v>
      </c>
    </row>
    <row r="62" spans="1:6">
      <c r="A62" s="7">
        <v>46142</v>
      </c>
      <c r="B62" s="25">
        <v>1</v>
      </c>
      <c r="C62" s="25">
        <v>0</v>
      </c>
      <c r="D62" s="25">
        <v>0</v>
      </c>
      <c r="E62" s="25">
        <v>0</v>
      </c>
      <c r="F62" s="25">
        <v>1</v>
      </c>
    </row>
    <row r="63" spans="1:6">
      <c r="A63" s="7">
        <v>46143</v>
      </c>
      <c r="B63" s="25">
        <v>0</v>
      </c>
      <c r="C63" s="25">
        <v>0</v>
      </c>
      <c r="D63" s="25">
        <v>0</v>
      </c>
      <c r="E63" s="25">
        <v>0</v>
      </c>
      <c r="F63" s="25">
        <v>0</v>
      </c>
    </row>
    <row r="64" spans="1:6">
      <c r="A64" s="7">
        <v>46144</v>
      </c>
      <c r="B64" s="25">
        <v>1</v>
      </c>
      <c r="C64" s="25">
        <v>0</v>
      </c>
      <c r="D64" s="25">
        <v>0</v>
      </c>
      <c r="E64" s="25">
        <v>0</v>
      </c>
      <c r="F64" s="25">
        <v>1</v>
      </c>
    </row>
    <row r="65" spans="1:6">
      <c r="A65" s="7">
        <v>46145</v>
      </c>
      <c r="B65" s="25">
        <v>0</v>
      </c>
      <c r="C65" s="25">
        <v>0</v>
      </c>
      <c r="D65" s="25">
        <v>0</v>
      </c>
      <c r="E65" s="25">
        <v>0</v>
      </c>
      <c r="F65" s="25">
        <v>0</v>
      </c>
    </row>
    <row r="66" spans="1:6">
      <c r="A66" s="7">
        <v>46146</v>
      </c>
      <c r="B66" s="25">
        <v>1</v>
      </c>
      <c r="C66" s="25">
        <v>0</v>
      </c>
      <c r="D66" s="25">
        <v>1</v>
      </c>
      <c r="E66" s="25">
        <v>0</v>
      </c>
      <c r="F66" s="25">
        <v>2</v>
      </c>
    </row>
    <row r="73" spans="1:6">
      <c r="B73" s="7"/>
    </row>
    <row r="74" spans="1:6">
      <c r="B74" s="7"/>
    </row>
    <row r="75" spans="1:6">
      <c r="B75" s="7"/>
    </row>
    <row r="76" spans="1:6">
      <c r="B76" s="7"/>
    </row>
    <row r="77" spans="1:6">
      <c r="B77" s="7"/>
    </row>
    <row r="78" spans="1:6">
      <c r="B78" s="7"/>
    </row>
    <row r="79" spans="1:6">
      <c r="B79" s="7"/>
    </row>
    <row r="80" spans="1:6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E36" sqref="E36"/>
    </sheetView>
  </sheetViews>
  <sheetFormatPr defaultRowHeight="15"/>
  <cols>
    <col min="1" max="1" width="23" bestFit="1" customWidth="1"/>
    <col min="2" max="2" width="51.85546875" bestFit="1" customWidth="1"/>
    <col min="3" max="3" width="56.42578125" bestFit="1" customWidth="1"/>
    <col min="4" max="4" width="45.5703125" bestFit="1" customWidth="1"/>
    <col min="5" max="5" width="60.85546875" bestFit="1" customWidth="1"/>
    <col min="6" max="6" width="41" bestFit="1" customWidth="1"/>
    <col min="7" max="7" width="54.140625" bestFit="1" customWidth="1"/>
    <col min="8" max="8" width="49.85546875" bestFit="1" customWidth="1"/>
  </cols>
  <sheetData>
    <row r="1" spans="1:8">
      <c r="A1" s="26" t="s">
        <v>276</v>
      </c>
      <c r="B1" s="26" t="s">
        <v>277</v>
      </c>
      <c r="C1" s="26" t="s">
        <v>278</v>
      </c>
      <c r="D1" s="26" t="s">
        <v>279</v>
      </c>
      <c r="E1" s="26" t="s">
        <v>280</v>
      </c>
      <c r="F1" s="26" t="s">
        <v>281</v>
      </c>
      <c r="G1" s="26" t="s">
        <v>282</v>
      </c>
      <c r="H1" s="26" t="s">
        <v>283</v>
      </c>
    </row>
    <row r="2" spans="1:8">
      <c r="A2" s="54">
        <v>46103</v>
      </c>
      <c r="B2" s="27">
        <v>25</v>
      </c>
      <c r="C2" s="27">
        <v>8</v>
      </c>
      <c r="D2" s="27">
        <v>855</v>
      </c>
      <c r="E2" s="28">
        <v>0.375</v>
      </c>
      <c r="F2" s="28">
        <v>0.04</v>
      </c>
      <c r="G2" s="29">
        <v>34.200000000000003</v>
      </c>
      <c r="H2" s="30" t="s">
        <v>284</v>
      </c>
    </row>
    <row r="3" spans="1:8">
      <c r="A3" s="54">
        <v>46102</v>
      </c>
      <c r="B3" s="27">
        <v>2</v>
      </c>
      <c r="C3" s="27">
        <v>1</v>
      </c>
      <c r="D3" s="27">
        <v>146</v>
      </c>
      <c r="E3" s="28">
        <v>0</v>
      </c>
      <c r="F3" s="28">
        <v>0</v>
      </c>
      <c r="G3" s="29">
        <v>73</v>
      </c>
      <c r="H3" s="30" t="s">
        <v>285</v>
      </c>
    </row>
    <row r="4" spans="1:8">
      <c r="A4" s="54">
        <v>46101</v>
      </c>
      <c r="B4" s="27">
        <v>5</v>
      </c>
      <c r="C4" s="27">
        <v>3</v>
      </c>
      <c r="D4" s="27">
        <v>192</v>
      </c>
      <c r="E4" s="28">
        <v>0.66666666666666652</v>
      </c>
      <c r="F4" s="28">
        <v>0</v>
      </c>
      <c r="G4" s="29">
        <v>38.4</v>
      </c>
      <c r="H4" s="30" t="s">
        <v>286</v>
      </c>
    </row>
    <row r="5" spans="1:8">
      <c r="A5" s="54">
        <v>46100</v>
      </c>
      <c r="B5" s="27">
        <v>4</v>
      </c>
      <c r="C5" s="27">
        <v>3</v>
      </c>
      <c r="D5" s="27">
        <v>65</v>
      </c>
      <c r="E5" s="28">
        <v>0</v>
      </c>
      <c r="F5" s="28">
        <v>0</v>
      </c>
      <c r="G5" s="29">
        <v>16.25</v>
      </c>
      <c r="H5" s="30" t="s">
        <v>287</v>
      </c>
    </row>
    <row r="6" spans="1:8">
      <c r="A6" s="54">
        <v>46099</v>
      </c>
      <c r="B6" s="27">
        <v>5</v>
      </c>
      <c r="C6" s="27">
        <v>3</v>
      </c>
      <c r="D6" s="27">
        <v>129</v>
      </c>
      <c r="E6" s="28">
        <v>0</v>
      </c>
      <c r="F6" s="28">
        <v>0.2</v>
      </c>
      <c r="G6" s="29">
        <v>25.8</v>
      </c>
      <c r="H6" s="30" t="s">
        <v>288</v>
      </c>
    </row>
    <row r="7" spans="1:8">
      <c r="A7" s="54">
        <v>46097</v>
      </c>
      <c r="B7" s="27">
        <v>1</v>
      </c>
      <c r="C7" s="27">
        <v>1</v>
      </c>
      <c r="D7" s="27">
        <v>2</v>
      </c>
      <c r="E7" s="28">
        <v>1</v>
      </c>
      <c r="F7" s="28">
        <v>0</v>
      </c>
      <c r="G7" s="29">
        <v>2</v>
      </c>
      <c r="H7" s="30" t="s">
        <v>289</v>
      </c>
    </row>
    <row r="8" spans="1:8">
      <c r="A8" s="54">
        <v>46091</v>
      </c>
      <c r="B8" s="27">
        <v>5</v>
      </c>
      <c r="C8" s="27">
        <v>2</v>
      </c>
      <c r="D8" s="27">
        <v>308</v>
      </c>
      <c r="E8" s="28">
        <v>0</v>
      </c>
      <c r="F8" s="28">
        <v>0</v>
      </c>
      <c r="G8" s="29">
        <v>61.6</v>
      </c>
      <c r="H8" s="30" t="s">
        <v>290</v>
      </c>
    </row>
    <row r="9" spans="1:8">
      <c r="A9" s="54">
        <v>46086</v>
      </c>
      <c r="B9" s="27">
        <v>1</v>
      </c>
      <c r="C9" s="27">
        <v>1</v>
      </c>
      <c r="D9" s="27">
        <v>3</v>
      </c>
      <c r="E9" s="28">
        <v>0</v>
      </c>
      <c r="F9" s="28">
        <v>0</v>
      </c>
      <c r="G9" s="29">
        <v>3</v>
      </c>
      <c r="H9" s="30" t="s">
        <v>291</v>
      </c>
    </row>
    <row r="10" spans="1:8">
      <c r="A10" s="54">
        <v>46085</v>
      </c>
      <c r="B10" s="27">
        <v>2</v>
      </c>
      <c r="C10" s="27">
        <v>2</v>
      </c>
      <c r="D10" s="27">
        <v>10</v>
      </c>
      <c r="E10" s="28">
        <v>0</v>
      </c>
      <c r="F10" s="28">
        <v>0</v>
      </c>
      <c r="G10" s="29">
        <v>5</v>
      </c>
      <c r="H10" s="30" t="s">
        <v>292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selection activeCell="R36" sqref="R36"/>
    </sheetView>
  </sheetViews>
  <sheetFormatPr defaultRowHeight="15"/>
  <cols>
    <col min="1" max="1" width="10.42578125" style="7" bestFit="1" customWidth="1"/>
    <col min="2" max="2" width="19" bestFit="1" customWidth="1"/>
    <col min="3" max="3" width="18.5703125" bestFit="1" customWidth="1"/>
    <col min="4" max="4" width="28.7109375" bestFit="1" customWidth="1"/>
  </cols>
  <sheetData>
    <row r="1" spans="1:4">
      <c r="A1" s="53" t="s">
        <v>0</v>
      </c>
      <c r="B1" s="31" t="s">
        <v>293</v>
      </c>
      <c r="C1" s="31" t="s">
        <v>294</v>
      </c>
      <c r="D1" s="31" t="s">
        <v>1</v>
      </c>
    </row>
    <row r="2" spans="1:4">
      <c r="A2" s="7">
        <v>46082</v>
      </c>
      <c r="B2" s="32">
        <v>0</v>
      </c>
      <c r="C2" s="32">
        <v>0</v>
      </c>
      <c r="D2" s="32">
        <v>0</v>
      </c>
    </row>
    <row r="3" spans="1:4">
      <c r="A3" s="7">
        <v>46083</v>
      </c>
      <c r="B3" s="32">
        <v>0</v>
      </c>
      <c r="C3" s="32">
        <v>0</v>
      </c>
      <c r="D3" s="32">
        <v>0</v>
      </c>
    </row>
    <row r="4" spans="1:4">
      <c r="A4" s="7">
        <v>46084</v>
      </c>
      <c r="B4" s="32">
        <v>0</v>
      </c>
      <c r="C4" s="32">
        <v>0</v>
      </c>
      <c r="D4" s="32">
        <v>0</v>
      </c>
    </row>
    <row r="5" spans="1:4">
      <c r="A5" s="7">
        <v>46085</v>
      </c>
      <c r="B5" s="32">
        <v>0</v>
      </c>
      <c r="C5" s="32">
        <v>0</v>
      </c>
      <c r="D5" s="32">
        <v>0</v>
      </c>
    </row>
    <row r="6" spans="1:4">
      <c r="A6" s="7">
        <v>46086</v>
      </c>
      <c r="B6" s="32">
        <v>0</v>
      </c>
      <c r="C6" s="32">
        <v>0</v>
      </c>
      <c r="D6" s="32">
        <v>0</v>
      </c>
    </row>
    <row r="7" spans="1:4">
      <c r="A7" s="7">
        <v>46087</v>
      </c>
      <c r="B7" s="32">
        <v>0</v>
      </c>
      <c r="C7" s="32">
        <v>0</v>
      </c>
      <c r="D7" s="32">
        <v>0</v>
      </c>
    </row>
    <row r="8" spans="1:4">
      <c r="A8" s="7">
        <v>46088</v>
      </c>
      <c r="B8" s="32">
        <v>0</v>
      </c>
      <c r="C8" s="32">
        <v>1</v>
      </c>
      <c r="D8" s="32">
        <v>1</v>
      </c>
    </row>
    <row r="9" spans="1:4">
      <c r="A9" s="7">
        <v>46089</v>
      </c>
      <c r="B9" s="32">
        <v>0</v>
      </c>
      <c r="C9" s="32">
        <v>0</v>
      </c>
      <c r="D9" s="32">
        <v>0</v>
      </c>
    </row>
    <row r="10" spans="1:4">
      <c r="A10" s="7">
        <v>46090</v>
      </c>
      <c r="B10" s="32">
        <v>0</v>
      </c>
      <c r="C10" s="32">
        <v>0</v>
      </c>
      <c r="D10" s="32">
        <v>0</v>
      </c>
    </row>
    <row r="11" spans="1:4">
      <c r="A11" s="7">
        <v>46091</v>
      </c>
      <c r="B11" s="32">
        <v>0</v>
      </c>
      <c r="C11" s="32">
        <v>0</v>
      </c>
      <c r="D11" s="32">
        <v>0</v>
      </c>
    </row>
    <row r="12" spans="1:4">
      <c r="A12" s="7">
        <v>46092</v>
      </c>
      <c r="B12" s="32">
        <v>1</v>
      </c>
      <c r="C12" s="32">
        <v>0</v>
      </c>
      <c r="D12" s="32">
        <v>1</v>
      </c>
    </row>
    <row r="13" spans="1:4">
      <c r="A13" s="7">
        <v>46093</v>
      </c>
      <c r="B13" s="32">
        <v>1</v>
      </c>
      <c r="C13" s="32">
        <v>0</v>
      </c>
      <c r="D13" s="32">
        <v>1</v>
      </c>
    </row>
    <row r="14" spans="1:4">
      <c r="A14" s="7">
        <v>46094</v>
      </c>
      <c r="B14" s="32">
        <v>0</v>
      </c>
      <c r="C14" s="32">
        <v>0</v>
      </c>
      <c r="D14" s="32">
        <v>0</v>
      </c>
    </row>
    <row r="15" spans="1:4">
      <c r="A15" s="7">
        <v>46095</v>
      </c>
      <c r="B15" s="32">
        <v>5</v>
      </c>
      <c r="C15" s="32">
        <v>0</v>
      </c>
      <c r="D15" s="32">
        <v>5</v>
      </c>
    </row>
    <row r="16" spans="1:4">
      <c r="A16" s="7">
        <v>46096</v>
      </c>
      <c r="B16" s="32">
        <v>0</v>
      </c>
      <c r="C16" s="32">
        <v>0</v>
      </c>
      <c r="D16" s="32">
        <v>0</v>
      </c>
    </row>
    <row r="17" spans="1:4">
      <c r="A17" s="7">
        <v>46097</v>
      </c>
      <c r="B17" s="32">
        <v>5</v>
      </c>
      <c r="C17" s="32">
        <v>1</v>
      </c>
      <c r="D17" s="32">
        <v>6</v>
      </c>
    </row>
    <row r="18" spans="1:4">
      <c r="A18" s="7">
        <v>46098</v>
      </c>
      <c r="B18" s="32">
        <v>1</v>
      </c>
      <c r="C18" s="32">
        <v>0</v>
      </c>
      <c r="D18" s="32">
        <v>1</v>
      </c>
    </row>
    <row r="19" spans="1:4">
      <c r="A19" s="7">
        <v>46099</v>
      </c>
      <c r="B19" s="32">
        <v>7</v>
      </c>
      <c r="C19" s="32">
        <v>0</v>
      </c>
      <c r="D19" s="32">
        <v>7</v>
      </c>
    </row>
    <row r="20" spans="1:4">
      <c r="A20" s="7">
        <v>46100</v>
      </c>
      <c r="B20" s="32">
        <v>5</v>
      </c>
      <c r="C20" s="32">
        <v>0</v>
      </c>
      <c r="D20" s="32">
        <v>5</v>
      </c>
    </row>
    <row r="21" spans="1:4">
      <c r="A21" s="7">
        <v>46101</v>
      </c>
      <c r="B21" s="32">
        <v>4</v>
      </c>
      <c r="C21" s="32">
        <v>0</v>
      </c>
      <c r="D21" s="32">
        <v>4</v>
      </c>
    </row>
    <row r="22" spans="1:4">
      <c r="A22" s="7">
        <v>46102</v>
      </c>
      <c r="B22" s="32">
        <v>3</v>
      </c>
      <c r="C22" s="32">
        <v>0</v>
      </c>
      <c r="D22" s="32">
        <v>3</v>
      </c>
    </row>
    <row r="23" spans="1:4">
      <c r="A23" s="7">
        <v>46103</v>
      </c>
      <c r="B23" s="32">
        <v>3</v>
      </c>
      <c r="C23" s="32">
        <v>0</v>
      </c>
      <c r="D23" s="32">
        <v>3</v>
      </c>
    </row>
    <row r="24" spans="1:4">
      <c r="A24" s="7">
        <v>46104</v>
      </c>
      <c r="B24" s="32">
        <v>1</v>
      </c>
      <c r="C24" s="32">
        <v>0</v>
      </c>
      <c r="D24" s="32">
        <v>1</v>
      </c>
    </row>
    <row r="25" spans="1:4">
      <c r="A25" s="7">
        <v>46105</v>
      </c>
      <c r="B25" s="32">
        <v>3</v>
      </c>
      <c r="C25" s="32">
        <v>0</v>
      </c>
      <c r="D25" s="32">
        <v>3</v>
      </c>
    </row>
    <row r="26" spans="1:4">
      <c r="A26" s="7">
        <v>46106</v>
      </c>
      <c r="B26" s="32">
        <v>9</v>
      </c>
      <c r="C26" s="32">
        <v>0</v>
      </c>
      <c r="D26" s="32">
        <v>9</v>
      </c>
    </row>
    <row r="27" spans="1:4">
      <c r="A27" s="7">
        <v>46107</v>
      </c>
      <c r="B27" s="32">
        <v>7</v>
      </c>
      <c r="C27" s="32">
        <v>0</v>
      </c>
      <c r="D27" s="32">
        <v>7</v>
      </c>
    </row>
    <row r="28" spans="1:4">
      <c r="A28" s="7">
        <v>46108</v>
      </c>
      <c r="B28" s="32">
        <v>10</v>
      </c>
      <c r="C28" s="32">
        <v>0</v>
      </c>
      <c r="D28" s="32">
        <v>10</v>
      </c>
    </row>
    <row r="29" spans="1:4">
      <c r="A29" s="7">
        <v>46109</v>
      </c>
      <c r="B29" s="32">
        <v>4</v>
      </c>
      <c r="C29" s="32">
        <v>0</v>
      </c>
      <c r="D29" s="32">
        <v>4</v>
      </c>
    </row>
    <row r="30" spans="1:4">
      <c r="A30" s="7">
        <v>46110</v>
      </c>
      <c r="B30" s="32">
        <v>0</v>
      </c>
      <c r="C30" s="32">
        <v>0</v>
      </c>
      <c r="D30" s="32">
        <v>0</v>
      </c>
    </row>
    <row r="31" spans="1:4">
      <c r="A31" s="7">
        <v>46111</v>
      </c>
      <c r="B31" s="32">
        <v>1</v>
      </c>
      <c r="C31" s="32">
        <v>0</v>
      </c>
      <c r="D31" s="32">
        <v>1</v>
      </c>
    </row>
    <row r="32" spans="1:4">
      <c r="A32" s="7">
        <v>46112</v>
      </c>
      <c r="B32" s="32">
        <v>1</v>
      </c>
      <c r="C32" s="32">
        <v>0</v>
      </c>
      <c r="D32" s="32">
        <v>1</v>
      </c>
    </row>
    <row r="33" spans="1:4">
      <c r="A33" s="7">
        <v>46113</v>
      </c>
      <c r="B33" s="32">
        <v>3</v>
      </c>
      <c r="C33" s="32">
        <v>0</v>
      </c>
      <c r="D33" s="32">
        <v>3</v>
      </c>
    </row>
    <row r="34" spans="1:4">
      <c r="A34" s="7">
        <v>46114</v>
      </c>
      <c r="B34" s="32">
        <v>0</v>
      </c>
      <c r="C34" s="32">
        <v>0</v>
      </c>
      <c r="D34" s="32">
        <v>0</v>
      </c>
    </row>
    <row r="35" spans="1:4">
      <c r="A35" s="7">
        <v>46115</v>
      </c>
      <c r="B35" s="32">
        <v>3</v>
      </c>
      <c r="C35" s="32">
        <v>0</v>
      </c>
      <c r="D35" s="32">
        <v>3</v>
      </c>
    </row>
    <row r="36" spans="1:4">
      <c r="A36" s="7">
        <v>46116</v>
      </c>
      <c r="B36" s="32">
        <v>0</v>
      </c>
      <c r="C36" s="32">
        <v>0</v>
      </c>
      <c r="D36" s="32">
        <v>0</v>
      </c>
    </row>
    <row r="37" spans="1:4">
      <c r="A37" s="7">
        <v>46117</v>
      </c>
      <c r="B37" s="32">
        <v>2</v>
      </c>
      <c r="C37" s="32">
        <v>0</v>
      </c>
      <c r="D37" s="32">
        <v>2</v>
      </c>
    </row>
    <row r="38" spans="1:4">
      <c r="A38" s="7">
        <v>46118</v>
      </c>
      <c r="B38" s="32">
        <v>1</v>
      </c>
      <c r="C38" s="32">
        <v>0</v>
      </c>
      <c r="D38" s="32">
        <v>1</v>
      </c>
    </row>
    <row r="39" spans="1:4">
      <c r="A39" s="7">
        <v>46119</v>
      </c>
      <c r="B39" s="32">
        <v>0</v>
      </c>
      <c r="C39" s="32">
        <v>0</v>
      </c>
      <c r="D39" s="32">
        <v>0</v>
      </c>
    </row>
    <row r="40" spans="1:4">
      <c r="A40" s="7">
        <v>46120</v>
      </c>
      <c r="B40" s="32">
        <v>0</v>
      </c>
      <c r="C40" s="32">
        <v>0</v>
      </c>
      <c r="D40" s="32">
        <v>0</v>
      </c>
    </row>
    <row r="41" spans="1:4">
      <c r="A41" s="7">
        <v>46121</v>
      </c>
      <c r="B41" s="32">
        <v>1</v>
      </c>
      <c r="C41" s="32">
        <v>0</v>
      </c>
      <c r="D41" s="32">
        <v>1</v>
      </c>
    </row>
    <row r="42" spans="1:4">
      <c r="A42" s="7">
        <v>46122</v>
      </c>
      <c r="B42" s="32">
        <v>0</v>
      </c>
      <c r="C42" s="32">
        <v>0</v>
      </c>
      <c r="D42" s="32">
        <v>0</v>
      </c>
    </row>
    <row r="43" spans="1:4">
      <c r="A43" s="7">
        <v>46123</v>
      </c>
      <c r="B43" s="32">
        <v>0</v>
      </c>
      <c r="C43" s="32">
        <v>0</v>
      </c>
      <c r="D43" s="32">
        <v>0</v>
      </c>
    </row>
    <row r="44" spans="1:4">
      <c r="A44" s="7">
        <v>46124</v>
      </c>
      <c r="B44" s="32">
        <v>0</v>
      </c>
      <c r="C44" s="32">
        <v>0</v>
      </c>
      <c r="D44" s="32">
        <v>0</v>
      </c>
    </row>
    <row r="45" spans="1:4">
      <c r="A45" s="7">
        <v>46125</v>
      </c>
      <c r="B45" s="32">
        <v>0</v>
      </c>
      <c r="C45" s="32">
        <v>2</v>
      </c>
      <c r="D45" s="32">
        <v>2</v>
      </c>
    </row>
    <row r="46" spans="1:4">
      <c r="A46" s="7">
        <v>46126</v>
      </c>
      <c r="B46" s="32">
        <v>1</v>
      </c>
      <c r="C46" s="32">
        <v>1</v>
      </c>
      <c r="D46" s="32">
        <v>2</v>
      </c>
    </row>
    <row r="47" spans="1:4">
      <c r="A47" s="7">
        <v>46127</v>
      </c>
      <c r="B47" s="32">
        <v>2</v>
      </c>
      <c r="C47" s="32">
        <v>2</v>
      </c>
      <c r="D47" s="32">
        <v>4</v>
      </c>
    </row>
    <row r="48" spans="1:4">
      <c r="A48" s="7">
        <v>46128</v>
      </c>
      <c r="B48" s="32">
        <v>5</v>
      </c>
      <c r="C48" s="32">
        <v>1</v>
      </c>
      <c r="D48" s="32">
        <v>6</v>
      </c>
    </row>
    <row r="49" spans="1:4">
      <c r="A49" s="7">
        <v>46129</v>
      </c>
      <c r="B49" s="32">
        <v>1</v>
      </c>
      <c r="C49" s="32">
        <v>0</v>
      </c>
      <c r="D49" s="32">
        <v>1</v>
      </c>
    </row>
    <row r="50" spans="1:4">
      <c r="A50" s="7">
        <v>46130</v>
      </c>
      <c r="B50" s="32">
        <v>0</v>
      </c>
      <c r="C50" s="32">
        <v>1</v>
      </c>
      <c r="D50" s="32">
        <v>1</v>
      </c>
    </row>
    <row r="51" spans="1:4">
      <c r="A51" s="7">
        <v>46131</v>
      </c>
      <c r="B51" s="32">
        <v>0</v>
      </c>
      <c r="C51" s="32">
        <v>0</v>
      </c>
      <c r="D51" s="32">
        <v>0</v>
      </c>
    </row>
    <row r="52" spans="1:4">
      <c r="A52" s="7">
        <v>46132</v>
      </c>
      <c r="B52" s="32">
        <v>0</v>
      </c>
      <c r="C52" s="32">
        <v>2</v>
      </c>
      <c r="D52" s="32">
        <v>2</v>
      </c>
    </row>
    <row r="53" spans="1:4">
      <c r="A53" s="7">
        <v>46133</v>
      </c>
      <c r="B53" s="32">
        <v>0</v>
      </c>
      <c r="C53" s="32">
        <v>0</v>
      </c>
      <c r="D53" s="32">
        <v>0</v>
      </c>
    </row>
    <row r="54" spans="1:4">
      <c r="A54" s="7">
        <v>46134</v>
      </c>
      <c r="B54" s="32">
        <v>0</v>
      </c>
      <c r="C54" s="32">
        <v>0</v>
      </c>
      <c r="D54" s="32">
        <v>0</v>
      </c>
    </row>
    <row r="55" spans="1:4">
      <c r="A55" s="7">
        <v>46135</v>
      </c>
      <c r="B55" s="32">
        <v>0</v>
      </c>
      <c r="C55" s="32">
        <v>2</v>
      </c>
      <c r="D55" s="32">
        <v>2</v>
      </c>
    </row>
    <row r="56" spans="1:4">
      <c r="A56" s="7">
        <v>46136</v>
      </c>
      <c r="B56" s="32">
        <v>0</v>
      </c>
      <c r="C56" s="32">
        <v>2</v>
      </c>
      <c r="D56" s="32">
        <v>2</v>
      </c>
    </row>
    <row r="57" spans="1:4">
      <c r="A57" s="7">
        <v>46137</v>
      </c>
      <c r="B57" s="32">
        <v>2</v>
      </c>
      <c r="C57" s="32">
        <v>1</v>
      </c>
      <c r="D57" s="32">
        <v>3</v>
      </c>
    </row>
    <row r="58" spans="1:4">
      <c r="A58" s="7">
        <v>46138</v>
      </c>
      <c r="B58" s="32">
        <v>0</v>
      </c>
      <c r="C58" s="32">
        <v>0</v>
      </c>
      <c r="D58" s="32">
        <v>0</v>
      </c>
    </row>
    <row r="59" spans="1:4">
      <c r="A59" s="7">
        <v>46139</v>
      </c>
      <c r="B59" s="32">
        <v>0</v>
      </c>
      <c r="C59" s="32">
        <v>1</v>
      </c>
      <c r="D59" s="32">
        <v>1</v>
      </c>
    </row>
    <row r="60" spans="1:4">
      <c r="A60" s="7">
        <v>46140</v>
      </c>
      <c r="B60" s="32">
        <v>4</v>
      </c>
      <c r="C60" s="32">
        <v>0</v>
      </c>
      <c r="D60" s="32">
        <v>4</v>
      </c>
    </row>
    <row r="61" spans="1:4">
      <c r="A61" s="7">
        <v>46141</v>
      </c>
      <c r="B61" s="32">
        <v>0</v>
      </c>
      <c r="C61" s="32">
        <v>1</v>
      </c>
      <c r="D61" s="32">
        <v>1</v>
      </c>
    </row>
    <row r="62" spans="1:4">
      <c r="A62" s="7">
        <v>46142</v>
      </c>
      <c r="B62" s="32">
        <v>0</v>
      </c>
      <c r="C62" s="32">
        <v>1</v>
      </c>
      <c r="D62" s="32">
        <v>1</v>
      </c>
    </row>
    <row r="63" spans="1:4">
      <c r="A63" s="7">
        <v>46143</v>
      </c>
      <c r="B63" s="32">
        <v>0</v>
      </c>
      <c r="C63" s="32">
        <v>0</v>
      </c>
      <c r="D63" s="32">
        <v>0</v>
      </c>
    </row>
    <row r="64" spans="1:4">
      <c r="A64" s="7">
        <v>46144</v>
      </c>
      <c r="B64" s="32">
        <v>0</v>
      </c>
      <c r="C64" s="32">
        <v>1</v>
      </c>
      <c r="D64" s="32">
        <v>1</v>
      </c>
    </row>
    <row r="65" spans="1:4">
      <c r="A65" s="7">
        <v>46145</v>
      </c>
      <c r="B65" s="32">
        <v>0</v>
      </c>
      <c r="C65" s="32">
        <v>0</v>
      </c>
      <c r="D65" s="32">
        <v>0</v>
      </c>
    </row>
    <row r="66" spans="1:4">
      <c r="A66" s="7">
        <v>46146</v>
      </c>
      <c r="B66" s="32">
        <v>0</v>
      </c>
      <c r="C66" s="32">
        <v>1</v>
      </c>
      <c r="D66" s="3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25" sqref="J25"/>
    </sheetView>
  </sheetViews>
  <sheetFormatPr defaultRowHeight="15"/>
  <cols>
    <col min="1" max="1" width="23.5703125" customWidth="1"/>
    <col min="2" max="2" width="35.5703125" customWidth="1"/>
    <col min="3" max="3" width="21.7109375" customWidth="1"/>
    <col min="4" max="4" width="11" customWidth="1"/>
    <col min="5" max="5" width="15.42578125" customWidth="1"/>
    <col min="6" max="6" width="10.85546875" customWidth="1"/>
    <col min="7" max="7" width="23.5703125" customWidth="1"/>
    <col min="8" max="8" width="19.42578125" customWidth="1"/>
    <col min="9" max="9" width="22.28515625" customWidth="1"/>
    <col min="10" max="10" width="18.28515625" bestFit="1" customWidth="1"/>
  </cols>
  <sheetData>
    <row r="1" spans="1:10">
      <c r="A1" s="49" t="s">
        <v>295</v>
      </c>
      <c r="B1" s="49" t="s">
        <v>296</v>
      </c>
      <c r="C1" s="49" t="s">
        <v>297</v>
      </c>
      <c r="D1" s="49" t="s">
        <v>68</v>
      </c>
      <c r="E1" s="49" t="s">
        <v>69</v>
      </c>
      <c r="F1" s="49" t="s">
        <v>70</v>
      </c>
      <c r="G1" s="49" t="s">
        <v>71</v>
      </c>
      <c r="H1" s="49" t="s">
        <v>72</v>
      </c>
      <c r="I1" s="69" t="s">
        <v>438</v>
      </c>
    </row>
    <row r="2" spans="1:10">
      <c r="A2" s="70" t="s">
        <v>73</v>
      </c>
      <c r="B2" s="70" t="s">
        <v>94</v>
      </c>
      <c r="C2" s="70" t="s">
        <v>94</v>
      </c>
      <c r="D2" s="51">
        <v>117</v>
      </c>
      <c r="E2" s="51">
        <v>23</v>
      </c>
      <c r="F2" s="44">
        <v>0.21367521367521367</v>
      </c>
      <c r="G2" s="45">
        <v>9.0085470085470085</v>
      </c>
      <c r="H2" s="46" t="s">
        <v>298</v>
      </c>
      <c r="I2" s="59">
        <f>LEN(Таблица4[[#This Row],[Поисковая фраза]])</f>
        <v>0</v>
      </c>
    </row>
    <row r="3" spans="1:10">
      <c r="A3" s="70" t="s">
        <v>257</v>
      </c>
      <c r="B3" s="70" t="s">
        <v>299</v>
      </c>
      <c r="C3" s="70" t="s">
        <v>96</v>
      </c>
      <c r="D3" s="51">
        <v>82</v>
      </c>
      <c r="E3" s="51">
        <v>4</v>
      </c>
      <c r="F3" s="44">
        <v>0.18292682926829268</v>
      </c>
      <c r="G3" s="45">
        <v>12.207317073170731</v>
      </c>
      <c r="H3" s="46" t="s">
        <v>300</v>
      </c>
      <c r="I3" s="68">
        <f>LEN(Таблица4[[#This Row],[Поисковая фраза]])</f>
        <v>13</v>
      </c>
    </row>
    <row r="4" spans="1:10">
      <c r="A4" s="70" t="s">
        <v>264</v>
      </c>
      <c r="B4" s="70" t="s">
        <v>301</v>
      </c>
      <c r="C4" s="70" t="s">
        <v>96</v>
      </c>
      <c r="D4" s="51">
        <v>21</v>
      </c>
      <c r="E4" s="51">
        <v>19</v>
      </c>
      <c r="F4" s="44">
        <v>0.33333333333333326</v>
      </c>
      <c r="G4" s="45">
        <v>1.1428571428571428</v>
      </c>
      <c r="H4" s="46" t="s">
        <v>265</v>
      </c>
      <c r="I4" s="68">
        <f>LEN(Таблица4[[#This Row],[Поисковая фраза]])</f>
        <v>13</v>
      </c>
    </row>
    <row r="5" spans="1:10">
      <c r="A5" s="70" t="s">
        <v>257</v>
      </c>
      <c r="B5" s="70" t="s">
        <v>302</v>
      </c>
      <c r="C5" s="70" t="s">
        <v>303</v>
      </c>
      <c r="D5" s="51">
        <v>14</v>
      </c>
      <c r="E5" s="51">
        <v>1</v>
      </c>
      <c r="F5" s="44">
        <v>0.21428571428571427</v>
      </c>
      <c r="G5" s="45">
        <v>2.0714285714285716</v>
      </c>
      <c r="H5" s="46" t="s">
        <v>304</v>
      </c>
      <c r="I5" s="68">
        <f>LEN(Таблица4[[#This Row],[Поисковая фраза]])</f>
        <v>16</v>
      </c>
    </row>
    <row r="8" spans="1:10">
      <c r="I8" s="73"/>
      <c r="J8" s="74"/>
    </row>
    <row r="9" spans="1:10">
      <c r="I9" s="74"/>
      <c r="J9" s="74"/>
    </row>
    <row r="10" spans="1:10">
      <c r="I10" s="74"/>
      <c r="J10" s="74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C10" sqref="C10"/>
    </sheetView>
  </sheetViews>
  <sheetFormatPr defaultRowHeight="15"/>
  <cols>
    <col min="1" max="1" width="16.140625" bestFit="1" customWidth="1"/>
    <col min="2" max="2" width="8.85546875" bestFit="1" customWidth="1"/>
    <col min="3" max="3" width="13.42578125" bestFit="1" customWidth="1"/>
    <col min="4" max="4" width="8.7109375" bestFit="1" customWidth="1"/>
    <col min="5" max="5" width="21.85546875" bestFit="1" customWidth="1"/>
    <col min="6" max="6" width="17.5703125" bestFit="1" customWidth="1"/>
    <col min="7" max="7" width="13.28515625" bestFit="1" customWidth="1"/>
  </cols>
  <sheetData>
    <row r="1" spans="1:7">
      <c r="A1" s="33" t="s">
        <v>305</v>
      </c>
      <c r="B1" s="33" t="s">
        <v>68</v>
      </c>
      <c r="C1" s="33" t="s">
        <v>69</v>
      </c>
      <c r="D1" s="33" t="s">
        <v>70</v>
      </c>
      <c r="E1" s="33" t="s">
        <v>71</v>
      </c>
      <c r="F1" s="33" t="s">
        <v>72</v>
      </c>
      <c r="G1" s="33" t="s">
        <v>306</v>
      </c>
    </row>
    <row r="2" spans="1:7">
      <c r="A2" s="34" t="s">
        <v>73</v>
      </c>
      <c r="B2" s="35">
        <v>163</v>
      </c>
      <c r="C2" s="35">
        <v>31</v>
      </c>
      <c r="D2" s="36">
        <v>0.17177914110429449</v>
      </c>
      <c r="E2" s="37">
        <v>10.533742331288343</v>
      </c>
      <c r="F2" s="38" t="s">
        <v>307</v>
      </c>
      <c r="G2" s="35">
        <v>1717</v>
      </c>
    </row>
    <row r="3" spans="1:7">
      <c r="A3" s="34" t="s">
        <v>308</v>
      </c>
      <c r="B3" s="35">
        <v>8</v>
      </c>
      <c r="C3" s="35">
        <v>3</v>
      </c>
      <c r="D3" s="36">
        <v>0.125</v>
      </c>
      <c r="E3" s="37">
        <v>5.25</v>
      </c>
      <c r="F3" s="38" t="s">
        <v>309</v>
      </c>
      <c r="G3" s="35">
        <v>42</v>
      </c>
    </row>
    <row r="4" spans="1:7">
      <c r="A4" s="34" t="s">
        <v>310</v>
      </c>
      <c r="B4" s="35">
        <v>12</v>
      </c>
      <c r="C4" s="35">
        <v>4</v>
      </c>
      <c r="D4" s="36">
        <v>0.25</v>
      </c>
      <c r="E4" s="37">
        <v>4.166666666666667</v>
      </c>
      <c r="F4" s="38" t="s">
        <v>311</v>
      </c>
      <c r="G4" s="35">
        <v>50</v>
      </c>
    </row>
    <row r="5" spans="1:7">
      <c r="A5" s="34" t="s">
        <v>312</v>
      </c>
      <c r="B5" s="35">
        <v>29</v>
      </c>
      <c r="C5" s="35">
        <v>6</v>
      </c>
      <c r="D5" s="36">
        <v>0.13793103448275862</v>
      </c>
      <c r="E5" s="37">
        <v>3.2758620689655173</v>
      </c>
      <c r="F5" s="38" t="s">
        <v>313</v>
      </c>
      <c r="G5" s="35">
        <v>95</v>
      </c>
    </row>
    <row r="6" spans="1:7">
      <c r="A6" s="34" t="s">
        <v>314</v>
      </c>
      <c r="B6" s="35">
        <v>69</v>
      </c>
      <c r="C6" s="35">
        <v>14</v>
      </c>
      <c r="D6" s="36">
        <v>0.17391304347826086</v>
      </c>
      <c r="E6" s="37">
        <v>13.507246376811594</v>
      </c>
      <c r="F6" s="38" t="s">
        <v>315</v>
      </c>
      <c r="G6" s="35">
        <v>932</v>
      </c>
    </row>
    <row r="7" spans="1:7">
      <c r="A7" s="34" t="s">
        <v>316</v>
      </c>
      <c r="B7" s="35">
        <v>44</v>
      </c>
      <c r="C7" s="35">
        <v>8</v>
      </c>
      <c r="D7" s="36">
        <v>0.18181818181818182</v>
      </c>
      <c r="E7" s="37">
        <v>13.545454545454545</v>
      </c>
      <c r="F7" s="38" t="s">
        <v>317</v>
      </c>
      <c r="G7" s="35">
        <v>596</v>
      </c>
    </row>
    <row r="8" spans="1:7">
      <c r="A8" s="34" t="s">
        <v>318</v>
      </c>
      <c r="B8" s="35">
        <v>1</v>
      </c>
      <c r="C8" s="35">
        <v>1</v>
      </c>
      <c r="D8" s="36">
        <v>0</v>
      </c>
      <c r="E8" s="37">
        <v>2</v>
      </c>
      <c r="F8" s="38" t="s">
        <v>168</v>
      </c>
      <c r="G8" s="35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selection activeCell="A2" sqref="A2:A66"/>
    </sheetView>
  </sheetViews>
  <sheetFormatPr defaultRowHeight="15"/>
  <cols>
    <col min="1" max="1" width="10.42578125" bestFit="1" customWidth="1"/>
    <col min="2" max="2" width="27" bestFit="1" customWidth="1"/>
    <col min="3" max="5" width="22" bestFit="1" customWidth="1"/>
    <col min="6" max="6" width="21.85546875" bestFit="1" customWidth="1"/>
    <col min="7" max="7" width="28.7109375" bestFit="1" customWidth="1"/>
  </cols>
  <sheetData>
    <row r="1" spans="1:7">
      <c r="A1" s="39" t="s">
        <v>0</v>
      </c>
      <c r="B1" s="39" t="s">
        <v>319</v>
      </c>
      <c r="C1" s="39" t="s">
        <v>320</v>
      </c>
      <c r="D1" s="39" t="s">
        <v>321</v>
      </c>
      <c r="E1" s="39" t="s">
        <v>322</v>
      </c>
      <c r="F1" s="39" t="s">
        <v>323</v>
      </c>
      <c r="G1" s="39" t="s">
        <v>1</v>
      </c>
    </row>
    <row r="2" spans="1:7">
      <c r="A2" s="7">
        <v>46082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0">
        <v>0</v>
      </c>
    </row>
    <row r="3" spans="1:7">
      <c r="A3" s="7">
        <v>46083</v>
      </c>
      <c r="B3" s="40">
        <v>0</v>
      </c>
      <c r="C3" s="40">
        <v>0</v>
      </c>
      <c r="D3" s="40">
        <v>0</v>
      </c>
      <c r="E3" s="40">
        <v>0</v>
      </c>
      <c r="F3" s="40">
        <v>0</v>
      </c>
      <c r="G3" s="40">
        <v>0</v>
      </c>
    </row>
    <row r="4" spans="1:7">
      <c r="A4" s="7">
        <v>46084</v>
      </c>
      <c r="B4" s="40">
        <v>0</v>
      </c>
      <c r="C4" s="40">
        <v>1</v>
      </c>
      <c r="D4" s="40">
        <v>5</v>
      </c>
      <c r="E4" s="40">
        <v>4</v>
      </c>
      <c r="F4" s="40">
        <v>0</v>
      </c>
      <c r="G4" s="40">
        <v>10</v>
      </c>
    </row>
    <row r="5" spans="1:7">
      <c r="A5" s="7">
        <v>46085</v>
      </c>
      <c r="B5" s="40">
        <v>0</v>
      </c>
      <c r="C5" s="40">
        <v>2</v>
      </c>
      <c r="D5" s="40">
        <v>4</v>
      </c>
      <c r="E5" s="40">
        <v>6</v>
      </c>
      <c r="F5" s="40">
        <v>0</v>
      </c>
      <c r="G5" s="40">
        <v>12</v>
      </c>
    </row>
    <row r="6" spans="1:7">
      <c r="A6" s="7">
        <v>46086</v>
      </c>
      <c r="B6" s="40">
        <v>0</v>
      </c>
      <c r="C6" s="40">
        <v>0</v>
      </c>
      <c r="D6" s="40">
        <v>1</v>
      </c>
      <c r="E6" s="40">
        <v>2</v>
      </c>
      <c r="F6" s="40">
        <v>0</v>
      </c>
      <c r="G6" s="40">
        <v>3</v>
      </c>
    </row>
    <row r="7" spans="1:7">
      <c r="A7" s="7">
        <v>46087</v>
      </c>
      <c r="B7" s="40">
        <v>0</v>
      </c>
      <c r="C7" s="40">
        <v>0</v>
      </c>
      <c r="D7" s="40">
        <v>0</v>
      </c>
      <c r="E7" s="40">
        <v>3</v>
      </c>
      <c r="F7" s="40">
        <v>0</v>
      </c>
      <c r="G7" s="40">
        <v>3</v>
      </c>
    </row>
    <row r="8" spans="1:7">
      <c r="A8" s="7">
        <v>46088</v>
      </c>
      <c r="B8" s="40">
        <v>0</v>
      </c>
      <c r="C8" s="40">
        <v>0</v>
      </c>
      <c r="D8" s="40">
        <v>0</v>
      </c>
      <c r="E8" s="40">
        <v>0</v>
      </c>
      <c r="F8" s="40">
        <v>2</v>
      </c>
      <c r="G8" s="40">
        <v>2</v>
      </c>
    </row>
    <row r="9" spans="1:7">
      <c r="A9" s="7">
        <v>46089</v>
      </c>
      <c r="B9" s="40">
        <v>0</v>
      </c>
      <c r="C9" s="40">
        <v>0</v>
      </c>
      <c r="D9" s="40">
        <v>0</v>
      </c>
      <c r="E9" s="40">
        <v>0</v>
      </c>
      <c r="F9" s="40">
        <v>1</v>
      </c>
      <c r="G9" s="40">
        <v>1</v>
      </c>
    </row>
    <row r="10" spans="1:7">
      <c r="A10" s="7">
        <v>46090</v>
      </c>
      <c r="B10" s="40">
        <v>0</v>
      </c>
      <c r="C10" s="40">
        <v>0</v>
      </c>
      <c r="D10" s="40">
        <v>0</v>
      </c>
      <c r="E10" s="40">
        <v>0</v>
      </c>
      <c r="F10" s="40">
        <v>1</v>
      </c>
      <c r="G10" s="40">
        <v>1</v>
      </c>
    </row>
    <row r="11" spans="1:7">
      <c r="A11" s="7">
        <v>46091</v>
      </c>
      <c r="B11" s="40">
        <v>5</v>
      </c>
      <c r="C11" s="40">
        <v>0</v>
      </c>
      <c r="D11" s="40">
        <v>0</v>
      </c>
      <c r="E11" s="40">
        <v>6</v>
      </c>
      <c r="F11" s="40">
        <v>0</v>
      </c>
      <c r="G11" s="40">
        <v>11</v>
      </c>
    </row>
    <row r="12" spans="1:7">
      <c r="A12" s="7">
        <v>46092</v>
      </c>
      <c r="B12" s="40">
        <v>1</v>
      </c>
      <c r="C12" s="40">
        <v>0</v>
      </c>
      <c r="D12" s="40">
        <v>0</v>
      </c>
      <c r="E12" s="40">
        <v>2</v>
      </c>
      <c r="F12" s="40">
        <v>0</v>
      </c>
      <c r="G12" s="40">
        <v>3</v>
      </c>
    </row>
    <row r="13" spans="1:7">
      <c r="A13" s="7">
        <v>46093</v>
      </c>
      <c r="B13" s="40">
        <v>0</v>
      </c>
      <c r="C13" s="40">
        <v>0</v>
      </c>
      <c r="D13" s="40">
        <v>0</v>
      </c>
      <c r="E13" s="40">
        <v>1</v>
      </c>
      <c r="F13" s="40">
        <v>0</v>
      </c>
      <c r="G13" s="40">
        <v>1</v>
      </c>
    </row>
    <row r="14" spans="1:7">
      <c r="A14" s="7">
        <v>46094</v>
      </c>
      <c r="B14" s="40">
        <v>0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</row>
    <row r="15" spans="1:7">
      <c r="A15" s="7">
        <v>46095</v>
      </c>
      <c r="B15" s="40">
        <v>0</v>
      </c>
      <c r="C15" s="40">
        <v>0</v>
      </c>
      <c r="D15" s="40">
        <v>0</v>
      </c>
      <c r="E15" s="40">
        <v>0</v>
      </c>
      <c r="F15" s="40">
        <v>4</v>
      </c>
      <c r="G15" s="40">
        <v>4</v>
      </c>
    </row>
    <row r="16" spans="1:7">
      <c r="A16" s="7">
        <v>46096</v>
      </c>
      <c r="B16" s="40">
        <v>0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</row>
    <row r="17" spans="1:7">
      <c r="A17" s="7">
        <v>46097</v>
      </c>
      <c r="B17" s="40">
        <v>1</v>
      </c>
      <c r="C17" s="40">
        <v>0</v>
      </c>
      <c r="D17" s="40">
        <v>1</v>
      </c>
      <c r="E17" s="40">
        <v>3</v>
      </c>
      <c r="F17" s="40">
        <v>3</v>
      </c>
      <c r="G17" s="40">
        <v>8</v>
      </c>
    </row>
    <row r="18" spans="1:7">
      <c r="A18" s="7">
        <v>46098</v>
      </c>
      <c r="B18" s="40">
        <v>0</v>
      </c>
      <c r="C18" s="40">
        <v>0</v>
      </c>
      <c r="D18" s="40">
        <v>1</v>
      </c>
      <c r="E18" s="40">
        <v>0</v>
      </c>
      <c r="F18" s="40">
        <v>1</v>
      </c>
      <c r="G18" s="40">
        <v>2</v>
      </c>
    </row>
    <row r="19" spans="1:7">
      <c r="A19" s="7">
        <v>46099</v>
      </c>
      <c r="B19" s="40">
        <v>0</v>
      </c>
      <c r="C19" s="40">
        <v>1</v>
      </c>
      <c r="D19" s="40">
        <v>0</v>
      </c>
      <c r="E19" s="40">
        <v>3</v>
      </c>
      <c r="F19" s="40">
        <v>2</v>
      </c>
      <c r="G19" s="40">
        <v>6</v>
      </c>
    </row>
    <row r="20" spans="1:7">
      <c r="A20" s="7">
        <v>46100</v>
      </c>
      <c r="B20" s="40">
        <v>0</v>
      </c>
      <c r="C20" s="40">
        <v>2</v>
      </c>
      <c r="D20" s="40">
        <v>0</v>
      </c>
      <c r="E20" s="40">
        <v>2</v>
      </c>
      <c r="F20" s="40">
        <v>1</v>
      </c>
      <c r="G20" s="40">
        <v>5</v>
      </c>
    </row>
    <row r="21" spans="1:7">
      <c r="A21" s="7">
        <v>46101</v>
      </c>
      <c r="B21" s="40">
        <v>1</v>
      </c>
      <c r="C21" s="40">
        <v>0</v>
      </c>
      <c r="D21" s="40">
        <v>0</v>
      </c>
      <c r="E21" s="40">
        <v>2</v>
      </c>
      <c r="F21" s="40">
        <v>5</v>
      </c>
      <c r="G21" s="40">
        <v>8</v>
      </c>
    </row>
    <row r="22" spans="1:7">
      <c r="A22" s="7">
        <v>46102</v>
      </c>
      <c r="B22" s="40">
        <v>0</v>
      </c>
      <c r="C22" s="40">
        <v>0</v>
      </c>
      <c r="D22" s="40">
        <v>2</v>
      </c>
      <c r="E22" s="40">
        <v>0</v>
      </c>
      <c r="F22" s="40">
        <v>3</v>
      </c>
      <c r="G22" s="40">
        <v>5</v>
      </c>
    </row>
    <row r="23" spans="1:7">
      <c r="A23" s="7">
        <v>46103</v>
      </c>
      <c r="B23" s="40">
        <v>0</v>
      </c>
      <c r="C23" s="40">
        <v>0</v>
      </c>
      <c r="D23" s="40">
        <v>0</v>
      </c>
      <c r="E23" s="40">
        <v>0</v>
      </c>
      <c r="F23" s="40">
        <v>2</v>
      </c>
      <c r="G23" s="40">
        <v>2</v>
      </c>
    </row>
    <row r="24" spans="1:7">
      <c r="A24" s="7">
        <v>46104</v>
      </c>
      <c r="B24" s="40">
        <v>0</v>
      </c>
      <c r="C24" s="40">
        <v>0</v>
      </c>
      <c r="D24" s="40">
        <v>0</v>
      </c>
      <c r="E24" s="40">
        <v>1</v>
      </c>
      <c r="F24" s="40">
        <v>0</v>
      </c>
      <c r="G24" s="40">
        <v>1</v>
      </c>
    </row>
    <row r="25" spans="1:7">
      <c r="A25" s="7">
        <v>46105</v>
      </c>
      <c r="B25" s="40">
        <v>0</v>
      </c>
      <c r="C25" s="40">
        <v>0</v>
      </c>
      <c r="D25" s="40">
        <v>1</v>
      </c>
      <c r="E25" s="40">
        <v>3</v>
      </c>
      <c r="F25" s="40">
        <v>0</v>
      </c>
      <c r="G25" s="40">
        <v>4</v>
      </c>
    </row>
    <row r="26" spans="1:7">
      <c r="A26" s="7">
        <v>46106</v>
      </c>
      <c r="B26" s="40">
        <v>0</v>
      </c>
      <c r="C26" s="40">
        <v>0</v>
      </c>
      <c r="D26" s="40">
        <v>3</v>
      </c>
      <c r="E26" s="40">
        <v>8</v>
      </c>
      <c r="F26" s="40">
        <v>0</v>
      </c>
      <c r="G26" s="40">
        <v>11</v>
      </c>
    </row>
    <row r="27" spans="1:7">
      <c r="A27" s="7">
        <v>46107</v>
      </c>
      <c r="B27" s="40">
        <v>0</v>
      </c>
      <c r="C27" s="40">
        <v>0</v>
      </c>
      <c r="D27" s="40">
        <v>1</v>
      </c>
      <c r="E27" s="40">
        <v>1</v>
      </c>
      <c r="F27" s="40">
        <v>5</v>
      </c>
      <c r="G27" s="40">
        <v>7</v>
      </c>
    </row>
    <row r="28" spans="1:7">
      <c r="A28" s="7">
        <v>46108</v>
      </c>
      <c r="B28" s="40">
        <v>0</v>
      </c>
      <c r="C28" s="40">
        <v>4</v>
      </c>
      <c r="D28" s="40">
        <v>0</v>
      </c>
      <c r="E28" s="40">
        <v>3</v>
      </c>
      <c r="F28" s="40">
        <v>1</v>
      </c>
      <c r="G28" s="40">
        <v>8</v>
      </c>
    </row>
    <row r="29" spans="1:7">
      <c r="A29" s="7">
        <v>46109</v>
      </c>
      <c r="B29" s="40">
        <v>0</v>
      </c>
      <c r="C29" s="40">
        <v>0</v>
      </c>
      <c r="D29" s="40">
        <v>1</v>
      </c>
      <c r="E29" s="40">
        <v>2</v>
      </c>
      <c r="F29" s="40">
        <v>2</v>
      </c>
      <c r="G29" s="40">
        <v>5</v>
      </c>
    </row>
    <row r="30" spans="1:7">
      <c r="A30" s="7">
        <v>46110</v>
      </c>
      <c r="B30" s="40">
        <v>0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</row>
    <row r="31" spans="1:7">
      <c r="A31" s="7">
        <v>46111</v>
      </c>
      <c r="B31" s="40">
        <v>0</v>
      </c>
      <c r="C31" s="40">
        <v>0</v>
      </c>
      <c r="D31" s="40">
        <v>0</v>
      </c>
      <c r="E31" s="40">
        <v>1</v>
      </c>
      <c r="F31" s="40">
        <v>0</v>
      </c>
      <c r="G31" s="40">
        <v>1</v>
      </c>
    </row>
    <row r="32" spans="1:7">
      <c r="A32" s="7">
        <v>46112</v>
      </c>
      <c r="B32" s="40">
        <v>0</v>
      </c>
      <c r="C32" s="40">
        <v>0</v>
      </c>
      <c r="D32" s="40">
        <v>0</v>
      </c>
      <c r="E32" s="40">
        <v>1</v>
      </c>
      <c r="F32" s="40">
        <v>0</v>
      </c>
      <c r="G32" s="40">
        <v>1</v>
      </c>
    </row>
    <row r="33" spans="1:7">
      <c r="A33" s="7">
        <v>46113</v>
      </c>
      <c r="B33" s="40">
        <v>0</v>
      </c>
      <c r="C33" s="40">
        <v>1</v>
      </c>
      <c r="D33" s="40">
        <v>0</v>
      </c>
      <c r="E33" s="40">
        <v>1</v>
      </c>
      <c r="F33" s="40">
        <v>1</v>
      </c>
      <c r="G33" s="40">
        <v>3</v>
      </c>
    </row>
    <row r="34" spans="1:7">
      <c r="A34" s="7">
        <v>46114</v>
      </c>
      <c r="B34" s="40">
        <v>0</v>
      </c>
      <c r="C34" s="40">
        <v>0</v>
      </c>
      <c r="D34" s="40">
        <v>0</v>
      </c>
      <c r="E34" s="40">
        <v>0</v>
      </c>
      <c r="F34" s="40">
        <v>1</v>
      </c>
      <c r="G34" s="40">
        <v>1</v>
      </c>
    </row>
    <row r="35" spans="1:7">
      <c r="A35" s="7">
        <v>46115</v>
      </c>
      <c r="B35" s="40">
        <v>0</v>
      </c>
      <c r="C35" s="40">
        <v>0</v>
      </c>
      <c r="D35" s="40">
        <v>0</v>
      </c>
      <c r="E35" s="40">
        <v>3</v>
      </c>
      <c r="F35" s="40">
        <v>1</v>
      </c>
      <c r="G35" s="40">
        <v>4</v>
      </c>
    </row>
    <row r="36" spans="1:7">
      <c r="A36" s="7">
        <v>46116</v>
      </c>
      <c r="B36" s="40">
        <v>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</row>
    <row r="37" spans="1:7">
      <c r="A37" s="7">
        <v>46117</v>
      </c>
      <c r="B37" s="40">
        <v>0</v>
      </c>
      <c r="C37" s="40">
        <v>0</v>
      </c>
      <c r="D37" s="40">
        <v>1</v>
      </c>
      <c r="E37" s="40">
        <v>2</v>
      </c>
      <c r="F37" s="40">
        <v>0</v>
      </c>
      <c r="G37" s="40">
        <v>3</v>
      </c>
    </row>
    <row r="38" spans="1:7">
      <c r="A38" s="7">
        <v>46118</v>
      </c>
      <c r="B38" s="40">
        <v>0</v>
      </c>
      <c r="C38" s="40">
        <v>1</v>
      </c>
      <c r="D38" s="40">
        <v>0</v>
      </c>
      <c r="E38" s="40">
        <v>0</v>
      </c>
      <c r="F38" s="40">
        <v>0</v>
      </c>
      <c r="G38" s="40">
        <v>1</v>
      </c>
    </row>
    <row r="39" spans="1:7">
      <c r="A39" s="7">
        <v>46119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</row>
    <row r="40" spans="1:7">
      <c r="A40" s="7">
        <v>46120</v>
      </c>
      <c r="B40" s="40">
        <v>0</v>
      </c>
      <c r="C40" s="40">
        <v>0</v>
      </c>
      <c r="D40" s="40">
        <v>1</v>
      </c>
      <c r="E40" s="40">
        <v>0</v>
      </c>
      <c r="F40" s="40">
        <v>0</v>
      </c>
      <c r="G40" s="40">
        <v>1</v>
      </c>
    </row>
    <row r="41" spans="1:7">
      <c r="A41" s="7">
        <v>46121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</row>
    <row r="42" spans="1:7">
      <c r="A42" s="7">
        <v>46122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</row>
    <row r="43" spans="1:7">
      <c r="A43" s="7">
        <v>46123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</row>
    <row r="44" spans="1:7">
      <c r="A44" s="7">
        <v>46124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</row>
    <row r="45" spans="1:7">
      <c r="A45" s="7">
        <v>46125</v>
      </c>
      <c r="B45" s="40">
        <v>0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</row>
    <row r="46" spans="1:7">
      <c r="A46" s="7">
        <v>46126</v>
      </c>
      <c r="B46" s="40">
        <v>0</v>
      </c>
      <c r="C46" s="40">
        <v>0</v>
      </c>
      <c r="D46" s="40">
        <v>1</v>
      </c>
      <c r="E46" s="40">
        <v>0</v>
      </c>
      <c r="F46" s="40">
        <v>0</v>
      </c>
      <c r="G46" s="40">
        <v>1</v>
      </c>
    </row>
    <row r="47" spans="1:7">
      <c r="A47" s="7">
        <v>46127</v>
      </c>
      <c r="B47" s="40">
        <v>0</v>
      </c>
      <c r="C47" s="40">
        <v>0</v>
      </c>
      <c r="D47" s="40">
        <v>2</v>
      </c>
      <c r="E47" s="40">
        <v>1</v>
      </c>
      <c r="F47" s="40">
        <v>1</v>
      </c>
      <c r="G47" s="40">
        <v>4</v>
      </c>
    </row>
    <row r="48" spans="1:7">
      <c r="A48" s="7">
        <v>46128</v>
      </c>
      <c r="B48" s="40">
        <v>0</v>
      </c>
      <c r="C48" s="40">
        <v>0</v>
      </c>
      <c r="D48" s="40">
        <v>3</v>
      </c>
      <c r="E48" s="40">
        <v>1</v>
      </c>
      <c r="F48" s="40">
        <v>1</v>
      </c>
      <c r="G48" s="40">
        <v>5</v>
      </c>
    </row>
    <row r="49" spans="1:7">
      <c r="A49" s="7">
        <v>46129</v>
      </c>
      <c r="B49" s="40">
        <v>0</v>
      </c>
      <c r="C49" s="40">
        <v>0</v>
      </c>
      <c r="D49" s="40">
        <v>1</v>
      </c>
      <c r="E49" s="40">
        <v>0</v>
      </c>
      <c r="F49" s="40">
        <v>0</v>
      </c>
      <c r="G49" s="40">
        <v>1</v>
      </c>
    </row>
    <row r="50" spans="1:7">
      <c r="A50" s="7">
        <v>46130</v>
      </c>
      <c r="B50" s="40">
        <v>0</v>
      </c>
      <c r="C50" s="40">
        <v>0</v>
      </c>
      <c r="D50" s="40">
        <v>0</v>
      </c>
      <c r="E50" s="40">
        <v>1</v>
      </c>
      <c r="F50" s="40">
        <v>0</v>
      </c>
      <c r="G50" s="40">
        <v>1</v>
      </c>
    </row>
    <row r="51" spans="1:7">
      <c r="A51" s="7">
        <v>46131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</row>
    <row r="52" spans="1:7">
      <c r="A52" s="7">
        <v>46132</v>
      </c>
      <c r="B52" s="40">
        <v>0</v>
      </c>
      <c r="C52" s="40">
        <v>0</v>
      </c>
      <c r="D52" s="40">
        <v>0</v>
      </c>
      <c r="E52" s="40">
        <v>1</v>
      </c>
      <c r="F52" s="40">
        <v>1</v>
      </c>
      <c r="G52" s="40">
        <v>2</v>
      </c>
    </row>
    <row r="53" spans="1:7">
      <c r="A53" s="7">
        <v>46133</v>
      </c>
      <c r="B53" s="40">
        <v>0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</row>
    <row r="54" spans="1:7">
      <c r="A54" s="7">
        <v>46134</v>
      </c>
      <c r="B54" s="40">
        <v>0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</row>
    <row r="55" spans="1:7">
      <c r="A55" s="7">
        <v>46135</v>
      </c>
      <c r="B55" s="40">
        <v>0</v>
      </c>
      <c r="C55" s="40">
        <v>0</v>
      </c>
      <c r="D55" s="40">
        <v>0</v>
      </c>
      <c r="E55" s="40">
        <v>1</v>
      </c>
      <c r="F55" s="40">
        <v>0</v>
      </c>
      <c r="G55" s="40">
        <v>2</v>
      </c>
    </row>
    <row r="56" spans="1:7">
      <c r="A56" s="7">
        <v>46136</v>
      </c>
      <c r="B56" s="40">
        <v>0</v>
      </c>
      <c r="C56" s="40">
        <v>0</v>
      </c>
      <c r="D56" s="40">
        <v>0</v>
      </c>
      <c r="E56" s="40">
        <v>0</v>
      </c>
      <c r="F56" s="40">
        <v>1</v>
      </c>
      <c r="G56" s="40">
        <v>1</v>
      </c>
    </row>
    <row r="57" spans="1:7">
      <c r="A57" s="7">
        <v>46137</v>
      </c>
      <c r="B57" s="40">
        <v>0</v>
      </c>
      <c r="C57" s="40">
        <v>0</v>
      </c>
      <c r="D57" s="40">
        <v>0</v>
      </c>
      <c r="E57" s="40">
        <v>0</v>
      </c>
      <c r="F57" s="40">
        <v>1</v>
      </c>
      <c r="G57" s="40">
        <v>1</v>
      </c>
    </row>
    <row r="58" spans="1:7">
      <c r="A58" s="7">
        <v>46138</v>
      </c>
      <c r="B58" s="40">
        <v>0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</row>
    <row r="59" spans="1:7">
      <c r="A59" s="7">
        <v>46139</v>
      </c>
      <c r="B59" s="40">
        <v>0</v>
      </c>
      <c r="C59" s="40">
        <v>0</v>
      </c>
      <c r="D59" s="40">
        <v>0</v>
      </c>
      <c r="E59" s="40">
        <v>1</v>
      </c>
      <c r="F59" s="40">
        <v>0</v>
      </c>
      <c r="G59" s="40">
        <v>1</v>
      </c>
    </row>
    <row r="60" spans="1:7">
      <c r="A60" s="7">
        <v>46140</v>
      </c>
      <c r="B60" s="40">
        <v>0</v>
      </c>
      <c r="C60" s="40">
        <v>0</v>
      </c>
      <c r="D60" s="40">
        <v>0</v>
      </c>
      <c r="E60" s="40">
        <v>2</v>
      </c>
      <c r="F60" s="40">
        <v>1</v>
      </c>
      <c r="G60" s="40">
        <v>3</v>
      </c>
    </row>
    <row r="61" spans="1:7">
      <c r="A61" s="7">
        <v>46141</v>
      </c>
      <c r="B61" s="40">
        <v>0</v>
      </c>
      <c r="C61" s="40">
        <v>0</v>
      </c>
      <c r="D61" s="40">
        <v>0</v>
      </c>
      <c r="E61" s="40">
        <v>0</v>
      </c>
      <c r="F61" s="40">
        <v>1</v>
      </c>
      <c r="G61" s="40">
        <v>1</v>
      </c>
    </row>
    <row r="62" spans="1:7">
      <c r="A62" s="7">
        <v>46142</v>
      </c>
      <c r="B62" s="40">
        <v>0</v>
      </c>
      <c r="C62" s="40">
        <v>0</v>
      </c>
      <c r="D62" s="40">
        <v>0</v>
      </c>
      <c r="E62" s="40">
        <v>1</v>
      </c>
      <c r="F62" s="40">
        <v>0</v>
      </c>
      <c r="G62" s="40">
        <v>1</v>
      </c>
    </row>
    <row r="63" spans="1:7">
      <c r="A63" s="7">
        <v>46143</v>
      </c>
      <c r="B63" s="40">
        <v>0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</row>
    <row r="64" spans="1:7">
      <c r="A64" s="7">
        <v>46144</v>
      </c>
      <c r="B64" s="40">
        <v>0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</row>
    <row r="65" spans="1:7">
      <c r="A65" s="7">
        <v>46145</v>
      </c>
      <c r="B65" s="40">
        <v>0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</row>
    <row r="66" spans="1:7">
      <c r="A66" s="7">
        <v>46146</v>
      </c>
      <c r="B66" s="40">
        <v>0</v>
      </c>
      <c r="C66" s="40">
        <v>0</v>
      </c>
      <c r="D66" s="40">
        <v>0</v>
      </c>
      <c r="E66" s="40">
        <v>0</v>
      </c>
      <c r="F66" s="40">
        <v>1</v>
      </c>
      <c r="G66" s="40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F4"/>
    </sheetView>
  </sheetViews>
  <sheetFormatPr defaultRowHeight="15"/>
  <cols>
    <col min="1" max="1" width="16.140625" bestFit="1" customWidth="1"/>
    <col min="2" max="2" width="8.85546875" bestFit="1" customWidth="1"/>
    <col min="3" max="3" width="13.42578125" bestFit="1" customWidth="1"/>
    <col min="4" max="4" width="8.7109375" bestFit="1" customWidth="1"/>
    <col min="5" max="5" width="21.85546875" bestFit="1" customWidth="1"/>
    <col min="6" max="6" width="17.5703125" bestFit="1" customWidth="1"/>
  </cols>
  <sheetData>
    <row r="1" spans="1:6">
      <c r="A1" s="41" t="s">
        <v>324</v>
      </c>
      <c r="B1" s="41" t="s">
        <v>68</v>
      </c>
      <c r="C1" s="41" t="s">
        <v>69</v>
      </c>
      <c r="D1" s="41" t="s">
        <v>70</v>
      </c>
      <c r="E1" s="41" t="s">
        <v>71</v>
      </c>
      <c r="F1" s="41" t="s">
        <v>72</v>
      </c>
    </row>
    <row r="2" spans="1:6">
      <c r="A2" s="42" t="s">
        <v>73</v>
      </c>
      <c r="B2" s="43">
        <v>164</v>
      </c>
      <c r="C2" s="43">
        <v>32</v>
      </c>
      <c r="D2" s="44">
        <v>0.17682926829268295</v>
      </c>
      <c r="E2" s="45">
        <v>10.475609756097562</v>
      </c>
      <c r="F2" s="46" t="s">
        <v>325</v>
      </c>
    </row>
    <row r="3" spans="1:6">
      <c r="A3" s="42" t="s">
        <v>326</v>
      </c>
      <c r="B3" s="43">
        <v>159</v>
      </c>
      <c r="C3" s="43">
        <v>27</v>
      </c>
      <c r="D3" s="44">
        <v>0.1761006289308176</v>
      </c>
      <c r="E3" s="45">
        <v>10.754716981132075</v>
      </c>
      <c r="F3" s="46" t="s">
        <v>327</v>
      </c>
    </row>
    <row r="4" spans="1:6">
      <c r="A4" s="42" t="s">
        <v>328</v>
      </c>
      <c r="B4" s="43">
        <v>5</v>
      </c>
      <c r="C4" s="43">
        <v>5</v>
      </c>
      <c r="D4" s="44">
        <v>0.2</v>
      </c>
      <c r="E4" s="45">
        <v>1.6</v>
      </c>
      <c r="F4" s="46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opLeftCell="A35" workbookViewId="0">
      <selection activeCell="A2" sqref="A2:A66"/>
    </sheetView>
  </sheetViews>
  <sheetFormatPr defaultRowHeight="15"/>
  <cols>
    <col min="1" max="1" width="10.42578125" bestFit="1" customWidth="1"/>
    <col min="2" max="3" width="20" bestFit="1" customWidth="1"/>
    <col min="4" max="4" width="28.7109375" bestFit="1" customWidth="1"/>
  </cols>
  <sheetData>
    <row r="1" spans="1:4">
      <c r="A1" s="47" t="s">
        <v>0</v>
      </c>
      <c r="B1" s="47" t="s">
        <v>329</v>
      </c>
      <c r="C1" s="47" t="s">
        <v>330</v>
      </c>
      <c r="D1" s="47" t="s">
        <v>1</v>
      </c>
    </row>
    <row r="2" spans="1:4">
      <c r="A2" s="7">
        <v>46082</v>
      </c>
      <c r="B2" s="48">
        <v>0</v>
      </c>
      <c r="C2" s="48">
        <v>0</v>
      </c>
      <c r="D2" s="48">
        <v>0</v>
      </c>
    </row>
    <row r="3" spans="1:4">
      <c r="A3" s="7">
        <v>46083</v>
      </c>
      <c r="B3" s="48">
        <v>0</v>
      </c>
      <c r="C3" s="48">
        <v>0</v>
      </c>
      <c r="D3" s="48">
        <v>0</v>
      </c>
    </row>
    <row r="4" spans="1:4">
      <c r="A4" s="7">
        <v>46084</v>
      </c>
      <c r="B4" s="48">
        <v>10</v>
      </c>
      <c r="C4" s="48">
        <v>0</v>
      </c>
      <c r="D4" s="48">
        <v>10</v>
      </c>
    </row>
    <row r="5" spans="1:4">
      <c r="A5" s="7">
        <v>46085</v>
      </c>
      <c r="B5" s="48">
        <v>12</v>
      </c>
      <c r="C5" s="48">
        <v>0</v>
      </c>
      <c r="D5" s="48">
        <v>12</v>
      </c>
    </row>
    <row r="6" spans="1:4">
      <c r="A6" s="7">
        <v>46086</v>
      </c>
      <c r="B6" s="48">
        <v>3</v>
      </c>
      <c r="C6" s="48">
        <v>0</v>
      </c>
      <c r="D6" s="48">
        <v>3</v>
      </c>
    </row>
    <row r="7" spans="1:4">
      <c r="A7" s="7">
        <v>46087</v>
      </c>
      <c r="B7" s="48">
        <v>3</v>
      </c>
      <c r="C7" s="48">
        <v>0</v>
      </c>
      <c r="D7" s="48">
        <v>3</v>
      </c>
    </row>
    <row r="8" spans="1:4">
      <c r="A8" s="7">
        <v>46088</v>
      </c>
      <c r="B8" s="48">
        <v>2</v>
      </c>
      <c r="C8" s="48">
        <v>0</v>
      </c>
      <c r="D8" s="48">
        <v>2</v>
      </c>
    </row>
    <row r="9" spans="1:4">
      <c r="A9" s="7">
        <v>46089</v>
      </c>
      <c r="B9" s="48">
        <v>1</v>
      </c>
      <c r="C9" s="48">
        <v>0</v>
      </c>
      <c r="D9" s="48">
        <v>1</v>
      </c>
    </row>
    <row r="10" spans="1:4">
      <c r="A10" s="7">
        <v>46090</v>
      </c>
      <c r="B10" s="48">
        <v>1</v>
      </c>
      <c r="C10" s="48">
        <v>0</v>
      </c>
      <c r="D10" s="48">
        <v>1</v>
      </c>
    </row>
    <row r="11" spans="1:4">
      <c r="A11" s="7">
        <v>46091</v>
      </c>
      <c r="B11" s="48">
        <v>11</v>
      </c>
      <c r="C11" s="48">
        <v>0</v>
      </c>
      <c r="D11" s="48">
        <v>11</v>
      </c>
    </row>
    <row r="12" spans="1:4">
      <c r="A12" s="7">
        <v>46092</v>
      </c>
      <c r="B12" s="48">
        <v>3</v>
      </c>
      <c r="C12" s="48">
        <v>0</v>
      </c>
      <c r="D12" s="48">
        <v>3</v>
      </c>
    </row>
    <row r="13" spans="1:4">
      <c r="A13" s="7">
        <v>46093</v>
      </c>
      <c r="B13" s="48">
        <v>1</v>
      </c>
      <c r="C13" s="48">
        <v>0</v>
      </c>
      <c r="D13" s="48">
        <v>1</v>
      </c>
    </row>
    <row r="14" spans="1:4">
      <c r="A14" s="7">
        <v>46094</v>
      </c>
      <c r="B14" s="48">
        <v>0</v>
      </c>
      <c r="C14" s="48">
        <v>0</v>
      </c>
      <c r="D14" s="48">
        <v>0</v>
      </c>
    </row>
    <row r="15" spans="1:4">
      <c r="A15" s="7">
        <v>46095</v>
      </c>
      <c r="B15" s="48">
        <v>4</v>
      </c>
      <c r="C15" s="48">
        <v>0</v>
      </c>
      <c r="D15" s="48">
        <v>4</v>
      </c>
    </row>
    <row r="16" spans="1:4">
      <c r="A16" s="7">
        <v>46096</v>
      </c>
      <c r="B16" s="48">
        <v>0</v>
      </c>
      <c r="C16" s="48">
        <v>0</v>
      </c>
      <c r="D16" s="48">
        <v>0</v>
      </c>
    </row>
    <row r="17" spans="1:4">
      <c r="A17" s="7">
        <v>46097</v>
      </c>
      <c r="B17" s="48">
        <v>6</v>
      </c>
      <c r="C17" s="48">
        <v>2</v>
      </c>
      <c r="D17" s="48">
        <v>8</v>
      </c>
    </row>
    <row r="18" spans="1:4">
      <c r="A18" s="7">
        <v>46098</v>
      </c>
      <c r="B18" s="48">
        <v>2</v>
      </c>
      <c r="C18" s="48">
        <v>0</v>
      </c>
      <c r="D18" s="48">
        <v>2</v>
      </c>
    </row>
    <row r="19" spans="1:4">
      <c r="A19" s="7">
        <v>46099</v>
      </c>
      <c r="B19" s="48">
        <v>6</v>
      </c>
      <c r="C19" s="48">
        <v>0</v>
      </c>
      <c r="D19" s="48">
        <v>6</v>
      </c>
    </row>
    <row r="20" spans="1:4">
      <c r="A20" s="7">
        <v>46100</v>
      </c>
      <c r="B20" s="48">
        <v>5</v>
      </c>
      <c r="C20" s="48">
        <v>0</v>
      </c>
      <c r="D20" s="48">
        <v>5</v>
      </c>
    </row>
    <row r="21" spans="1:4">
      <c r="A21" s="7">
        <v>46101</v>
      </c>
      <c r="B21" s="48">
        <v>8</v>
      </c>
      <c r="C21" s="48">
        <v>1</v>
      </c>
      <c r="D21" s="48">
        <v>9</v>
      </c>
    </row>
    <row r="22" spans="1:4">
      <c r="A22" s="7">
        <v>46102</v>
      </c>
      <c r="B22" s="48">
        <v>5</v>
      </c>
      <c r="C22" s="48">
        <v>0</v>
      </c>
      <c r="D22" s="48">
        <v>5</v>
      </c>
    </row>
    <row r="23" spans="1:4">
      <c r="A23" s="7">
        <v>46103</v>
      </c>
      <c r="B23" s="48">
        <v>2</v>
      </c>
      <c r="C23" s="48">
        <v>0</v>
      </c>
      <c r="D23" s="48">
        <v>2</v>
      </c>
    </row>
    <row r="24" spans="1:4">
      <c r="A24" s="7">
        <v>46104</v>
      </c>
      <c r="B24" s="48">
        <v>1</v>
      </c>
      <c r="C24" s="48">
        <v>0</v>
      </c>
      <c r="D24" s="48">
        <v>1</v>
      </c>
    </row>
    <row r="25" spans="1:4">
      <c r="A25" s="7">
        <v>46105</v>
      </c>
      <c r="B25" s="48">
        <v>4</v>
      </c>
      <c r="C25" s="48">
        <v>0</v>
      </c>
      <c r="D25" s="48">
        <v>4</v>
      </c>
    </row>
    <row r="26" spans="1:4">
      <c r="A26" s="7">
        <v>46106</v>
      </c>
      <c r="B26" s="48">
        <v>11</v>
      </c>
      <c r="C26" s="48">
        <v>0</v>
      </c>
      <c r="D26" s="48">
        <v>11</v>
      </c>
    </row>
    <row r="27" spans="1:4">
      <c r="A27" s="7">
        <v>46107</v>
      </c>
      <c r="B27" s="48">
        <v>7</v>
      </c>
      <c r="C27" s="48">
        <v>0</v>
      </c>
      <c r="D27" s="48">
        <v>7</v>
      </c>
    </row>
    <row r="28" spans="1:4">
      <c r="A28" s="7">
        <v>46108</v>
      </c>
      <c r="B28" s="48">
        <v>8</v>
      </c>
      <c r="C28" s="48">
        <v>0</v>
      </c>
      <c r="D28" s="48">
        <v>8</v>
      </c>
    </row>
    <row r="29" spans="1:4">
      <c r="A29" s="7">
        <v>46109</v>
      </c>
      <c r="B29" s="48">
        <v>5</v>
      </c>
      <c r="C29" s="48">
        <v>0</v>
      </c>
      <c r="D29" s="48">
        <v>5</v>
      </c>
    </row>
    <row r="30" spans="1:4">
      <c r="A30" s="7">
        <v>46110</v>
      </c>
      <c r="B30" s="48">
        <v>0</v>
      </c>
      <c r="C30" s="48">
        <v>0</v>
      </c>
      <c r="D30" s="48">
        <v>0</v>
      </c>
    </row>
    <row r="31" spans="1:4">
      <c r="A31" s="7">
        <v>46111</v>
      </c>
      <c r="B31" s="48">
        <v>1</v>
      </c>
      <c r="C31" s="48">
        <v>0</v>
      </c>
      <c r="D31" s="48">
        <v>1</v>
      </c>
    </row>
    <row r="32" spans="1:4">
      <c r="A32" s="7">
        <v>46112</v>
      </c>
      <c r="B32" s="48">
        <v>1</v>
      </c>
      <c r="C32" s="48">
        <v>0</v>
      </c>
      <c r="D32" s="48">
        <v>1</v>
      </c>
    </row>
    <row r="33" spans="1:4">
      <c r="A33" s="7">
        <v>46113</v>
      </c>
      <c r="B33" s="48">
        <v>3</v>
      </c>
      <c r="C33" s="48">
        <v>0</v>
      </c>
      <c r="D33" s="48">
        <v>3</v>
      </c>
    </row>
    <row r="34" spans="1:4">
      <c r="A34" s="7">
        <v>46114</v>
      </c>
      <c r="B34" s="48">
        <v>1</v>
      </c>
      <c r="C34" s="48">
        <v>0</v>
      </c>
      <c r="D34" s="48">
        <v>1</v>
      </c>
    </row>
    <row r="35" spans="1:4">
      <c r="A35" s="7">
        <v>46115</v>
      </c>
      <c r="B35" s="48">
        <v>4</v>
      </c>
      <c r="C35" s="48">
        <v>0</v>
      </c>
      <c r="D35" s="48">
        <v>4</v>
      </c>
    </row>
    <row r="36" spans="1:4">
      <c r="A36" s="7">
        <v>46116</v>
      </c>
      <c r="B36" s="48">
        <v>0</v>
      </c>
      <c r="C36" s="48">
        <v>0</v>
      </c>
      <c r="D36" s="48">
        <v>0</v>
      </c>
    </row>
    <row r="37" spans="1:4">
      <c r="A37" s="7">
        <v>46117</v>
      </c>
      <c r="B37" s="48">
        <v>3</v>
      </c>
      <c r="C37" s="48">
        <v>0</v>
      </c>
      <c r="D37" s="48">
        <v>3</v>
      </c>
    </row>
    <row r="38" spans="1:4">
      <c r="A38" s="7">
        <v>46118</v>
      </c>
      <c r="B38" s="48">
        <v>1</v>
      </c>
      <c r="C38" s="48">
        <v>0</v>
      </c>
      <c r="D38" s="48">
        <v>1</v>
      </c>
    </row>
    <row r="39" spans="1:4">
      <c r="A39" s="7">
        <v>46119</v>
      </c>
      <c r="B39" s="48">
        <v>0</v>
      </c>
      <c r="C39" s="48">
        <v>0</v>
      </c>
      <c r="D39" s="48">
        <v>0</v>
      </c>
    </row>
    <row r="40" spans="1:4">
      <c r="A40" s="7">
        <v>46120</v>
      </c>
      <c r="B40" s="48">
        <v>1</v>
      </c>
      <c r="C40" s="48">
        <v>0</v>
      </c>
      <c r="D40" s="48">
        <v>1</v>
      </c>
    </row>
    <row r="41" spans="1:4">
      <c r="A41" s="7">
        <v>46121</v>
      </c>
      <c r="B41" s="48">
        <v>0</v>
      </c>
      <c r="C41" s="48">
        <v>0</v>
      </c>
      <c r="D41" s="48">
        <v>0</v>
      </c>
    </row>
    <row r="42" spans="1:4">
      <c r="A42" s="7">
        <v>46122</v>
      </c>
      <c r="B42" s="48">
        <v>0</v>
      </c>
      <c r="C42" s="48">
        <v>0</v>
      </c>
      <c r="D42" s="48">
        <v>0</v>
      </c>
    </row>
    <row r="43" spans="1:4">
      <c r="A43" s="7">
        <v>46123</v>
      </c>
      <c r="B43" s="48">
        <v>0</v>
      </c>
      <c r="C43" s="48">
        <v>0</v>
      </c>
      <c r="D43" s="48">
        <v>0</v>
      </c>
    </row>
    <row r="44" spans="1:4">
      <c r="A44" s="7">
        <v>46124</v>
      </c>
      <c r="B44" s="48">
        <v>0</v>
      </c>
      <c r="C44" s="48">
        <v>0</v>
      </c>
      <c r="D44" s="48">
        <v>0</v>
      </c>
    </row>
    <row r="45" spans="1:4">
      <c r="A45" s="7">
        <v>46125</v>
      </c>
      <c r="B45" s="48">
        <v>0</v>
      </c>
      <c r="C45" s="48">
        <v>0</v>
      </c>
      <c r="D45" s="48">
        <v>0</v>
      </c>
    </row>
    <row r="46" spans="1:4">
      <c r="A46" s="7">
        <v>46126</v>
      </c>
      <c r="B46" s="48">
        <v>1</v>
      </c>
      <c r="C46" s="48">
        <v>0</v>
      </c>
      <c r="D46" s="48">
        <v>1</v>
      </c>
    </row>
    <row r="47" spans="1:4">
      <c r="A47" s="7">
        <v>46127</v>
      </c>
      <c r="B47" s="48">
        <v>4</v>
      </c>
      <c r="C47" s="48">
        <v>0</v>
      </c>
      <c r="D47" s="48">
        <v>4</v>
      </c>
    </row>
    <row r="48" spans="1:4">
      <c r="A48" s="7">
        <v>46128</v>
      </c>
      <c r="B48" s="48">
        <v>5</v>
      </c>
      <c r="C48" s="48">
        <v>0</v>
      </c>
      <c r="D48" s="48">
        <v>5</v>
      </c>
    </row>
    <row r="49" spans="1:4">
      <c r="A49" s="7">
        <v>46129</v>
      </c>
      <c r="B49" s="48">
        <v>1</v>
      </c>
      <c r="C49" s="48">
        <v>0</v>
      </c>
      <c r="D49" s="48">
        <v>1</v>
      </c>
    </row>
    <row r="50" spans="1:4">
      <c r="A50" s="7">
        <v>46130</v>
      </c>
      <c r="B50" s="48">
        <v>1</v>
      </c>
      <c r="C50" s="48">
        <v>0</v>
      </c>
      <c r="D50" s="48">
        <v>1</v>
      </c>
    </row>
    <row r="51" spans="1:4">
      <c r="A51" s="7">
        <v>46131</v>
      </c>
      <c r="B51" s="48">
        <v>0</v>
      </c>
      <c r="C51" s="48">
        <v>0</v>
      </c>
      <c r="D51" s="48">
        <v>0</v>
      </c>
    </row>
    <row r="52" spans="1:4">
      <c r="A52" s="7">
        <v>46132</v>
      </c>
      <c r="B52" s="48">
        <v>2</v>
      </c>
      <c r="C52" s="48">
        <v>0</v>
      </c>
      <c r="D52" s="48">
        <v>2</v>
      </c>
    </row>
    <row r="53" spans="1:4">
      <c r="A53" s="7">
        <v>46133</v>
      </c>
      <c r="B53" s="48">
        <v>0</v>
      </c>
      <c r="C53" s="48">
        <v>0</v>
      </c>
      <c r="D53" s="48">
        <v>0</v>
      </c>
    </row>
    <row r="54" spans="1:4">
      <c r="A54" s="7">
        <v>46134</v>
      </c>
      <c r="B54" s="48">
        <v>0</v>
      </c>
      <c r="C54" s="48">
        <v>0</v>
      </c>
      <c r="D54" s="48">
        <v>0</v>
      </c>
    </row>
    <row r="55" spans="1:4">
      <c r="A55" s="7">
        <v>46135</v>
      </c>
      <c r="B55" s="48">
        <v>2</v>
      </c>
      <c r="C55" s="48">
        <v>0</v>
      </c>
      <c r="D55" s="48">
        <v>2</v>
      </c>
    </row>
    <row r="56" spans="1:4">
      <c r="A56" s="7">
        <v>46136</v>
      </c>
      <c r="B56" s="48">
        <v>0</v>
      </c>
      <c r="C56" s="48">
        <v>1</v>
      </c>
      <c r="D56" s="48">
        <v>1</v>
      </c>
    </row>
    <row r="57" spans="1:4">
      <c r="A57" s="7">
        <v>46137</v>
      </c>
      <c r="B57" s="48">
        <v>1</v>
      </c>
      <c r="C57" s="48">
        <v>0</v>
      </c>
      <c r="D57" s="48">
        <v>1</v>
      </c>
    </row>
    <row r="58" spans="1:4">
      <c r="A58" s="7">
        <v>46138</v>
      </c>
      <c r="B58" s="48">
        <v>0</v>
      </c>
      <c r="C58" s="48">
        <v>0</v>
      </c>
      <c r="D58" s="48">
        <v>0</v>
      </c>
    </row>
    <row r="59" spans="1:4">
      <c r="A59" s="7">
        <v>46139</v>
      </c>
      <c r="B59" s="48">
        <v>1</v>
      </c>
      <c r="C59" s="48">
        <v>0</v>
      </c>
      <c r="D59" s="48">
        <v>1</v>
      </c>
    </row>
    <row r="60" spans="1:4">
      <c r="A60" s="7">
        <v>46140</v>
      </c>
      <c r="B60" s="48">
        <v>3</v>
      </c>
      <c r="C60" s="48">
        <v>0</v>
      </c>
      <c r="D60" s="48">
        <v>3</v>
      </c>
    </row>
    <row r="61" spans="1:4">
      <c r="A61" s="7">
        <v>46141</v>
      </c>
      <c r="B61" s="48">
        <v>0</v>
      </c>
      <c r="C61" s="48">
        <v>1</v>
      </c>
      <c r="D61" s="48">
        <v>1</v>
      </c>
    </row>
    <row r="62" spans="1:4">
      <c r="A62" s="7">
        <v>46142</v>
      </c>
      <c r="B62" s="48">
        <v>1</v>
      </c>
      <c r="C62" s="48">
        <v>0</v>
      </c>
      <c r="D62" s="48">
        <v>1</v>
      </c>
    </row>
    <row r="63" spans="1:4">
      <c r="A63" s="7">
        <v>46143</v>
      </c>
      <c r="B63" s="48">
        <v>0</v>
      </c>
      <c r="C63" s="48">
        <v>0</v>
      </c>
      <c r="D63" s="48">
        <v>0</v>
      </c>
    </row>
    <row r="64" spans="1:4">
      <c r="A64" s="7">
        <v>46144</v>
      </c>
      <c r="B64" s="48">
        <v>0</v>
      </c>
      <c r="C64" s="48">
        <v>0</v>
      </c>
      <c r="D64" s="48">
        <v>0</v>
      </c>
    </row>
    <row r="65" spans="1:4">
      <c r="A65" s="7">
        <v>46145</v>
      </c>
      <c r="B65" s="48">
        <v>0</v>
      </c>
      <c r="C65" s="48">
        <v>0</v>
      </c>
      <c r="D65" s="48">
        <v>0</v>
      </c>
    </row>
    <row r="66" spans="1:4">
      <c r="A66" s="7">
        <v>46146</v>
      </c>
      <c r="B66" s="48">
        <v>1</v>
      </c>
      <c r="C66" s="48">
        <v>0</v>
      </c>
      <c r="D66" s="48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workbookViewId="0">
      <selection sqref="A1:G143"/>
    </sheetView>
  </sheetViews>
  <sheetFormatPr defaultRowHeight="15"/>
  <cols>
    <col min="1" max="1" width="17.5703125" bestFit="1" customWidth="1"/>
    <col min="2" max="2" width="58.28515625" bestFit="1" customWidth="1"/>
    <col min="3" max="3" width="47" bestFit="1" customWidth="1"/>
    <col min="4" max="4" width="45.42578125" bestFit="1" customWidth="1"/>
    <col min="5" max="5" width="58.85546875" bestFit="1" customWidth="1"/>
    <col min="6" max="6" width="13.28515625" bestFit="1" customWidth="1"/>
    <col min="7" max="7" width="13.42578125" bestFit="1" customWidth="1"/>
  </cols>
  <sheetData>
    <row r="1" spans="1:7">
      <c r="A1" s="49" t="s">
        <v>331</v>
      </c>
      <c r="B1" s="49" t="s">
        <v>332</v>
      </c>
      <c r="C1" s="49" t="s">
        <v>333</v>
      </c>
      <c r="D1" s="49" t="s">
        <v>334</v>
      </c>
      <c r="E1" s="49" t="s">
        <v>335</v>
      </c>
      <c r="F1" s="49" t="s">
        <v>306</v>
      </c>
      <c r="G1" s="49" t="s">
        <v>69</v>
      </c>
    </row>
    <row r="2" spans="1:7">
      <c r="A2" s="71" t="s">
        <v>73</v>
      </c>
      <c r="B2" s="71" t="s">
        <v>94</v>
      </c>
      <c r="C2" s="71" t="s">
        <v>94</v>
      </c>
      <c r="D2" s="71" t="s">
        <v>94</v>
      </c>
      <c r="E2" s="71" t="s">
        <v>94</v>
      </c>
      <c r="F2" s="51">
        <v>2116</v>
      </c>
      <c r="G2" s="51">
        <v>109</v>
      </c>
    </row>
    <row r="3" spans="1:7">
      <c r="A3" s="50" t="s">
        <v>95</v>
      </c>
      <c r="B3" s="50" t="s">
        <v>98</v>
      </c>
      <c r="C3" s="50" t="s">
        <v>96</v>
      </c>
      <c r="D3" s="50" t="s">
        <v>96</v>
      </c>
      <c r="E3" s="50" t="s">
        <v>98</v>
      </c>
      <c r="F3" s="51">
        <v>407</v>
      </c>
      <c r="G3" s="51">
        <v>19</v>
      </c>
    </row>
    <row r="4" spans="1:7">
      <c r="A4" s="50" t="s">
        <v>95</v>
      </c>
      <c r="B4" s="50" t="s">
        <v>96</v>
      </c>
      <c r="C4" s="50" t="s">
        <v>96</v>
      </c>
      <c r="D4" s="50" t="s">
        <v>96</v>
      </c>
      <c r="E4" s="50" t="s">
        <v>95</v>
      </c>
      <c r="F4" s="51">
        <v>384</v>
      </c>
      <c r="G4" s="51">
        <v>61</v>
      </c>
    </row>
    <row r="5" spans="1:7">
      <c r="A5" s="50" t="s">
        <v>95</v>
      </c>
      <c r="B5" s="50" t="s">
        <v>104</v>
      </c>
      <c r="C5" s="50" t="s">
        <v>105</v>
      </c>
      <c r="D5" s="50" t="s">
        <v>96</v>
      </c>
      <c r="E5" s="50" t="s">
        <v>105</v>
      </c>
      <c r="F5" s="51">
        <v>346</v>
      </c>
      <c r="G5" s="51">
        <v>13</v>
      </c>
    </row>
    <row r="6" spans="1:7">
      <c r="A6" s="50" t="s">
        <v>95</v>
      </c>
      <c r="B6" s="50" t="s">
        <v>100</v>
      </c>
      <c r="C6" s="50" t="s">
        <v>96</v>
      </c>
      <c r="D6" s="50" t="s">
        <v>96</v>
      </c>
      <c r="E6" s="50" t="s">
        <v>100</v>
      </c>
      <c r="F6" s="51">
        <v>219</v>
      </c>
      <c r="G6" s="51">
        <v>10</v>
      </c>
    </row>
    <row r="7" spans="1:7">
      <c r="A7" s="50" t="s">
        <v>95</v>
      </c>
      <c r="B7" s="50" t="s">
        <v>336</v>
      </c>
      <c r="C7" s="50" t="s">
        <v>96</v>
      </c>
      <c r="D7" s="50" t="s">
        <v>96</v>
      </c>
      <c r="E7" s="50" t="s">
        <v>102</v>
      </c>
      <c r="F7" s="51">
        <v>74</v>
      </c>
      <c r="G7" s="51">
        <v>15</v>
      </c>
    </row>
    <row r="8" spans="1:7">
      <c r="A8" s="50" t="s">
        <v>95</v>
      </c>
      <c r="B8" s="50" t="s">
        <v>137</v>
      </c>
      <c r="C8" s="50" t="s">
        <v>138</v>
      </c>
      <c r="D8" s="50" t="s">
        <v>96</v>
      </c>
      <c r="E8" s="50" t="s">
        <v>138</v>
      </c>
      <c r="F8" s="51">
        <v>56</v>
      </c>
      <c r="G8" s="51">
        <v>4</v>
      </c>
    </row>
    <row r="9" spans="1:7">
      <c r="A9" s="50" t="s">
        <v>95</v>
      </c>
      <c r="B9" s="50" t="s">
        <v>204</v>
      </c>
      <c r="C9" s="50" t="s">
        <v>96</v>
      </c>
      <c r="D9" s="50" t="s">
        <v>96</v>
      </c>
      <c r="E9" s="50" t="s">
        <v>204</v>
      </c>
      <c r="F9" s="51">
        <v>48</v>
      </c>
      <c r="G9" s="51">
        <v>4</v>
      </c>
    </row>
    <row r="10" spans="1:7">
      <c r="A10" s="50" t="s">
        <v>95</v>
      </c>
      <c r="B10" s="50" t="s">
        <v>117</v>
      </c>
      <c r="C10" s="50" t="s">
        <v>96</v>
      </c>
      <c r="D10" s="50" t="s">
        <v>96</v>
      </c>
      <c r="E10" s="50" t="s">
        <v>117</v>
      </c>
      <c r="F10" s="51">
        <v>34</v>
      </c>
      <c r="G10" s="51">
        <v>3</v>
      </c>
    </row>
    <row r="11" spans="1:7">
      <c r="A11" s="50" t="s">
        <v>95</v>
      </c>
      <c r="B11" s="50" t="s">
        <v>211</v>
      </c>
      <c r="C11" s="50" t="s">
        <v>212</v>
      </c>
      <c r="D11" s="50" t="s">
        <v>96</v>
      </c>
      <c r="E11" s="50" t="s">
        <v>212</v>
      </c>
      <c r="F11" s="51">
        <v>30</v>
      </c>
      <c r="G11" s="51">
        <v>4</v>
      </c>
    </row>
    <row r="12" spans="1:7">
      <c r="A12" s="50" t="s">
        <v>95</v>
      </c>
      <c r="B12" s="50" t="s">
        <v>104</v>
      </c>
      <c r="C12" s="50" t="s">
        <v>237</v>
      </c>
      <c r="D12" s="50" t="s">
        <v>96</v>
      </c>
      <c r="E12" s="50" t="s">
        <v>237</v>
      </c>
      <c r="F12" s="51">
        <v>30</v>
      </c>
      <c r="G12" s="51">
        <v>2</v>
      </c>
    </row>
    <row r="13" spans="1:7">
      <c r="A13" s="50" t="s">
        <v>95</v>
      </c>
      <c r="B13" s="50" t="s">
        <v>104</v>
      </c>
      <c r="C13" s="50" t="s">
        <v>121</v>
      </c>
      <c r="D13" s="50" t="s">
        <v>96</v>
      </c>
      <c r="E13" s="50" t="s">
        <v>121</v>
      </c>
      <c r="F13" s="51">
        <v>25</v>
      </c>
      <c r="G13" s="51">
        <v>3</v>
      </c>
    </row>
    <row r="14" spans="1:7">
      <c r="A14" s="50" t="s">
        <v>95</v>
      </c>
      <c r="B14" s="50" t="s">
        <v>104</v>
      </c>
      <c r="C14" s="50" t="s">
        <v>111</v>
      </c>
      <c r="D14" s="50" t="s">
        <v>96</v>
      </c>
      <c r="E14" s="50" t="s">
        <v>111</v>
      </c>
      <c r="F14" s="51">
        <v>24</v>
      </c>
      <c r="G14" s="51">
        <v>5</v>
      </c>
    </row>
    <row r="15" spans="1:7">
      <c r="A15" s="50" t="s">
        <v>95</v>
      </c>
      <c r="B15" s="50" t="s">
        <v>202</v>
      </c>
      <c r="C15" s="50" t="s">
        <v>96</v>
      </c>
      <c r="D15" s="50" t="s">
        <v>96</v>
      </c>
      <c r="E15" s="50" t="s">
        <v>202</v>
      </c>
      <c r="F15" s="51">
        <v>22</v>
      </c>
      <c r="G15" s="51">
        <v>4</v>
      </c>
    </row>
    <row r="16" spans="1:7">
      <c r="A16" s="50" t="s">
        <v>95</v>
      </c>
      <c r="B16" s="50" t="s">
        <v>104</v>
      </c>
      <c r="C16" s="50" t="s">
        <v>337</v>
      </c>
      <c r="D16" s="50" t="s">
        <v>96</v>
      </c>
      <c r="E16" s="50" t="s">
        <v>337</v>
      </c>
      <c r="F16" s="51">
        <v>19</v>
      </c>
      <c r="G16" s="51">
        <v>1</v>
      </c>
    </row>
    <row r="17" spans="1:7">
      <c r="A17" s="50" t="s">
        <v>95</v>
      </c>
      <c r="B17" s="50" t="s">
        <v>104</v>
      </c>
      <c r="C17" s="50" t="s">
        <v>216</v>
      </c>
      <c r="D17" s="50" t="s">
        <v>96</v>
      </c>
      <c r="E17" s="50" t="s">
        <v>216</v>
      </c>
      <c r="F17" s="51">
        <v>16</v>
      </c>
      <c r="G17" s="51">
        <v>3</v>
      </c>
    </row>
    <row r="18" spans="1:7">
      <c r="A18" s="50" t="s">
        <v>95</v>
      </c>
      <c r="B18" s="50" t="s">
        <v>104</v>
      </c>
      <c r="C18" s="50" t="s">
        <v>170</v>
      </c>
      <c r="D18" s="50" t="s">
        <v>96</v>
      </c>
      <c r="E18" s="50" t="s">
        <v>170</v>
      </c>
      <c r="F18" s="51">
        <v>15</v>
      </c>
      <c r="G18" s="51">
        <v>3</v>
      </c>
    </row>
    <row r="19" spans="1:7">
      <c r="A19" s="50" t="s">
        <v>95</v>
      </c>
      <c r="B19" s="50" t="s">
        <v>104</v>
      </c>
      <c r="C19" s="50" t="s">
        <v>123</v>
      </c>
      <c r="D19" s="50" t="s">
        <v>96</v>
      </c>
      <c r="E19" s="50" t="s">
        <v>123</v>
      </c>
      <c r="F19" s="51">
        <v>15</v>
      </c>
      <c r="G19" s="51">
        <v>3</v>
      </c>
    </row>
    <row r="20" spans="1:7">
      <c r="A20" s="50" t="s">
        <v>95</v>
      </c>
      <c r="B20" s="50" t="s">
        <v>107</v>
      </c>
      <c r="C20" s="50" t="s">
        <v>96</v>
      </c>
      <c r="D20" s="50" t="s">
        <v>96</v>
      </c>
      <c r="E20" s="50" t="s">
        <v>107</v>
      </c>
      <c r="F20" s="51">
        <v>14</v>
      </c>
      <c r="G20" s="51">
        <v>3</v>
      </c>
    </row>
    <row r="21" spans="1:7">
      <c r="A21" s="50" t="s">
        <v>95</v>
      </c>
      <c r="B21" s="50" t="s">
        <v>104</v>
      </c>
      <c r="C21" s="50" t="s">
        <v>338</v>
      </c>
      <c r="D21" s="50" t="s">
        <v>96</v>
      </c>
      <c r="E21" s="50" t="s">
        <v>338</v>
      </c>
      <c r="F21" s="51">
        <v>14</v>
      </c>
      <c r="G21" s="51">
        <v>2</v>
      </c>
    </row>
    <row r="22" spans="1:7">
      <c r="A22" s="50" t="s">
        <v>95</v>
      </c>
      <c r="B22" s="50" t="s">
        <v>104</v>
      </c>
      <c r="C22" s="50" t="s">
        <v>180</v>
      </c>
      <c r="D22" s="50" t="s">
        <v>96</v>
      </c>
      <c r="E22" s="50" t="s">
        <v>180</v>
      </c>
      <c r="F22" s="51">
        <v>14</v>
      </c>
      <c r="G22" s="51">
        <v>2</v>
      </c>
    </row>
    <row r="23" spans="1:7">
      <c r="A23" s="50" t="s">
        <v>95</v>
      </c>
      <c r="B23" s="50" t="s">
        <v>104</v>
      </c>
      <c r="C23" s="50" t="s">
        <v>119</v>
      </c>
      <c r="D23" s="50" t="s">
        <v>96</v>
      </c>
      <c r="E23" s="50" t="s">
        <v>119</v>
      </c>
      <c r="F23" s="51">
        <v>13</v>
      </c>
      <c r="G23" s="51">
        <v>1</v>
      </c>
    </row>
    <row r="24" spans="1:7">
      <c r="A24" s="50" t="s">
        <v>95</v>
      </c>
      <c r="B24" s="50" t="s">
        <v>109</v>
      </c>
      <c r="C24" s="50" t="s">
        <v>96</v>
      </c>
      <c r="D24" s="50" t="s">
        <v>96</v>
      </c>
      <c r="E24" s="50" t="s">
        <v>109</v>
      </c>
      <c r="F24" s="51">
        <v>11</v>
      </c>
      <c r="G24" s="51">
        <v>6</v>
      </c>
    </row>
    <row r="25" spans="1:7">
      <c r="A25" s="50" t="s">
        <v>95</v>
      </c>
      <c r="B25" s="50" t="s">
        <v>211</v>
      </c>
      <c r="C25" s="50" t="s">
        <v>339</v>
      </c>
      <c r="D25" s="50" t="s">
        <v>96</v>
      </c>
      <c r="E25" s="50" t="s">
        <v>339</v>
      </c>
      <c r="F25" s="51">
        <v>10</v>
      </c>
      <c r="G25" s="51">
        <v>2</v>
      </c>
    </row>
    <row r="26" spans="1:7">
      <c r="A26" s="50" t="s">
        <v>95</v>
      </c>
      <c r="B26" s="50" t="s">
        <v>211</v>
      </c>
      <c r="C26" s="50" t="s">
        <v>221</v>
      </c>
      <c r="D26" s="50" t="s">
        <v>96</v>
      </c>
      <c r="E26" s="50" t="s">
        <v>221</v>
      </c>
      <c r="F26" s="51">
        <v>10</v>
      </c>
      <c r="G26" s="51">
        <v>3</v>
      </c>
    </row>
    <row r="27" spans="1:7">
      <c r="A27" s="50" t="s">
        <v>95</v>
      </c>
      <c r="B27" s="50" t="s">
        <v>104</v>
      </c>
      <c r="C27" s="50" t="s">
        <v>236</v>
      </c>
      <c r="D27" s="50" t="s">
        <v>96</v>
      </c>
      <c r="E27" s="50" t="s">
        <v>236</v>
      </c>
      <c r="F27" s="51">
        <v>9</v>
      </c>
      <c r="G27" s="51">
        <v>2</v>
      </c>
    </row>
    <row r="28" spans="1:7">
      <c r="A28" s="50" t="s">
        <v>95</v>
      </c>
      <c r="B28" s="50" t="s">
        <v>137</v>
      </c>
      <c r="C28" s="50" t="s">
        <v>340</v>
      </c>
      <c r="D28" s="50" t="s">
        <v>96</v>
      </c>
      <c r="E28" s="50" t="s">
        <v>340</v>
      </c>
      <c r="F28" s="51">
        <v>8</v>
      </c>
      <c r="G28" s="51">
        <v>1</v>
      </c>
    </row>
    <row r="29" spans="1:7">
      <c r="A29" s="50" t="s">
        <v>95</v>
      </c>
      <c r="B29" s="50" t="s">
        <v>104</v>
      </c>
      <c r="C29" s="50" t="s">
        <v>341</v>
      </c>
      <c r="D29" s="50" t="s">
        <v>96</v>
      </c>
      <c r="E29" s="50" t="s">
        <v>341</v>
      </c>
      <c r="F29" s="51">
        <v>8</v>
      </c>
      <c r="G29" s="51">
        <v>1</v>
      </c>
    </row>
    <row r="30" spans="1:7">
      <c r="A30" s="50" t="s">
        <v>95</v>
      </c>
      <c r="B30" s="50" t="s">
        <v>104</v>
      </c>
      <c r="C30" s="50" t="s">
        <v>182</v>
      </c>
      <c r="D30" s="50" t="s">
        <v>96</v>
      </c>
      <c r="E30" s="50" t="s">
        <v>182</v>
      </c>
      <c r="F30" s="51">
        <v>8</v>
      </c>
      <c r="G30" s="51">
        <v>1</v>
      </c>
    </row>
    <row r="31" spans="1:7">
      <c r="A31" s="50" t="s">
        <v>95</v>
      </c>
      <c r="B31" s="50" t="s">
        <v>132</v>
      </c>
      <c r="C31" s="50" t="s">
        <v>96</v>
      </c>
      <c r="D31" s="50" t="s">
        <v>96</v>
      </c>
      <c r="E31" s="50" t="s">
        <v>132</v>
      </c>
      <c r="F31" s="51">
        <v>7</v>
      </c>
      <c r="G31" s="51">
        <v>3</v>
      </c>
    </row>
    <row r="32" spans="1:7">
      <c r="A32" s="50" t="s">
        <v>95</v>
      </c>
      <c r="B32" s="50" t="s">
        <v>137</v>
      </c>
      <c r="C32" s="50" t="s">
        <v>342</v>
      </c>
      <c r="D32" s="50" t="s">
        <v>96</v>
      </c>
      <c r="E32" s="50" t="s">
        <v>342</v>
      </c>
      <c r="F32" s="51">
        <v>7</v>
      </c>
      <c r="G32" s="51">
        <v>1</v>
      </c>
    </row>
    <row r="33" spans="1:7">
      <c r="A33" s="50" t="s">
        <v>95</v>
      </c>
      <c r="B33" s="50" t="s">
        <v>211</v>
      </c>
      <c r="C33" s="50" t="s">
        <v>219</v>
      </c>
      <c r="D33" s="50" t="s">
        <v>96</v>
      </c>
      <c r="E33" s="50" t="s">
        <v>219</v>
      </c>
      <c r="F33" s="51">
        <v>6</v>
      </c>
      <c r="G33" s="51">
        <v>2</v>
      </c>
    </row>
    <row r="34" spans="1:7">
      <c r="A34" s="50" t="s">
        <v>95</v>
      </c>
      <c r="B34" s="50" t="s">
        <v>135</v>
      </c>
      <c r="C34" s="50" t="s">
        <v>96</v>
      </c>
      <c r="D34" s="50" t="s">
        <v>96</v>
      </c>
      <c r="E34" s="50" t="s">
        <v>135</v>
      </c>
      <c r="F34" s="51">
        <v>6</v>
      </c>
      <c r="G34" s="51">
        <v>3</v>
      </c>
    </row>
    <row r="35" spans="1:7">
      <c r="A35" s="50" t="s">
        <v>95</v>
      </c>
      <c r="B35" s="50" t="s">
        <v>104</v>
      </c>
      <c r="C35" s="50" t="s">
        <v>144</v>
      </c>
      <c r="D35" s="50" t="s">
        <v>96</v>
      </c>
      <c r="E35" s="50" t="s">
        <v>144</v>
      </c>
      <c r="F35" s="51">
        <v>6</v>
      </c>
      <c r="G35" s="51">
        <v>1</v>
      </c>
    </row>
    <row r="36" spans="1:7">
      <c r="A36" s="50" t="s">
        <v>95</v>
      </c>
      <c r="B36" s="50" t="s">
        <v>104</v>
      </c>
      <c r="C36" s="50" t="s">
        <v>343</v>
      </c>
      <c r="D36" s="50" t="s">
        <v>96</v>
      </c>
      <c r="E36" s="50" t="s">
        <v>343</v>
      </c>
      <c r="F36" s="51">
        <v>6</v>
      </c>
      <c r="G36" s="51">
        <v>1</v>
      </c>
    </row>
    <row r="37" spans="1:7">
      <c r="A37" s="50" t="s">
        <v>95</v>
      </c>
      <c r="B37" s="50" t="s">
        <v>104</v>
      </c>
      <c r="C37" s="50" t="s">
        <v>344</v>
      </c>
      <c r="D37" s="50" t="s">
        <v>96</v>
      </c>
      <c r="E37" s="50" t="s">
        <v>344</v>
      </c>
      <c r="F37" s="51">
        <v>6</v>
      </c>
      <c r="G37" s="51">
        <v>1</v>
      </c>
    </row>
    <row r="38" spans="1:7">
      <c r="A38" s="50" t="s">
        <v>95</v>
      </c>
      <c r="B38" s="50" t="s">
        <v>104</v>
      </c>
      <c r="C38" s="50" t="s">
        <v>240</v>
      </c>
      <c r="D38" s="50" t="s">
        <v>96</v>
      </c>
      <c r="E38" s="50" t="s">
        <v>240</v>
      </c>
      <c r="F38" s="51">
        <v>6</v>
      </c>
      <c r="G38" s="51">
        <v>1</v>
      </c>
    </row>
    <row r="39" spans="1:7">
      <c r="A39" s="50" t="s">
        <v>95</v>
      </c>
      <c r="B39" s="50" t="s">
        <v>211</v>
      </c>
      <c r="C39" s="50" t="s">
        <v>345</v>
      </c>
      <c r="D39" s="50" t="s">
        <v>96</v>
      </c>
      <c r="E39" s="50" t="s">
        <v>345</v>
      </c>
      <c r="F39" s="51">
        <v>5</v>
      </c>
      <c r="G39" s="51">
        <v>1</v>
      </c>
    </row>
    <row r="40" spans="1:7">
      <c r="A40" s="50" t="s">
        <v>95</v>
      </c>
      <c r="B40" s="50" t="s">
        <v>104</v>
      </c>
      <c r="C40" s="50" t="s">
        <v>142</v>
      </c>
      <c r="D40" s="50" t="s">
        <v>96</v>
      </c>
      <c r="E40" s="50" t="s">
        <v>142</v>
      </c>
      <c r="F40" s="51">
        <v>5</v>
      </c>
      <c r="G40" s="51">
        <v>1</v>
      </c>
    </row>
    <row r="41" spans="1:7">
      <c r="A41" s="50" t="s">
        <v>95</v>
      </c>
      <c r="B41" s="50" t="s">
        <v>104</v>
      </c>
      <c r="C41" s="50" t="s">
        <v>346</v>
      </c>
      <c r="D41" s="50" t="s">
        <v>96</v>
      </c>
      <c r="E41" s="50" t="s">
        <v>346</v>
      </c>
      <c r="F41" s="51">
        <v>5</v>
      </c>
      <c r="G41" s="51">
        <v>1</v>
      </c>
    </row>
    <row r="42" spans="1:7">
      <c r="A42" s="50" t="s">
        <v>95</v>
      </c>
      <c r="B42" s="50" t="s">
        <v>104</v>
      </c>
      <c r="C42" s="50" t="s">
        <v>175</v>
      </c>
      <c r="D42" s="50" t="s">
        <v>96</v>
      </c>
      <c r="E42" s="50" t="s">
        <v>175</v>
      </c>
      <c r="F42" s="51">
        <v>5</v>
      </c>
      <c r="G42" s="51">
        <v>2</v>
      </c>
    </row>
    <row r="43" spans="1:7">
      <c r="A43" s="50" t="s">
        <v>95</v>
      </c>
      <c r="B43" s="50" t="s">
        <v>104</v>
      </c>
      <c r="C43" s="50" t="s">
        <v>347</v>
      </c>
      <c r="D43" s="50" t="s">
        <v>96</v>
      </c>
      <c r="E43" s="50" t="s">
        <v>347</v>
      </c>
      <c r="F43" s="51">
        <v>5</v>
      </c>
      <c r="G43" s="51">
        <v>1</v>
      </c>
    </row>
    <row r="44" spans="1:7">
      <c r="A44" s="50" t="s">
        <v>95</v>
      </c>
      <c r="B44" s="50" t="s">
        <v>104</v>
      </c>
      <c r="C44" s="50" t="s">
        <v>348</v>
      </c>
      <c r="D44" s="50" t="s">
        <v>96</v>
      </c>
      <c r="E44" s="50" t="s">
        <v>348</v>
      </c>
      <c r="F44" s="51">
        <v>5</v>
      </c>
      <c r="G44" s="51">
        <v>1</v>
      </c>
    </row>
    <row r="45" spans="1:7">
      <c r="A45" s="50" t="s">
        <v>95</v>
      </c>
      <c r="B45" s="50" t="s">
        <v>104</v>
      </c>
      <c r="C45" s="50" t="s">
        <v>349</v>
      </c>
      <c r="D45" s="50" t="s">
        <v>96</v>
      </c>
      <c r="E45" s="50" t="s">
        <v>349</v>
      </c>
      <c r="F45" s="51">
        <v>4</v>
      </c>
      <c r="G45" s="51">
        <v>1</v>
      </c>
    </row>
    <row r="46" spans="1:7">
      <c r="A46" s="50" t="s">
        <v>95</v>
      </c>
      <c r="B46" s="50" t="s">
        <v>104</v>
      </c>
      <c r="C46" s="50" t="s">
        <v>246</v>
      </c>
      <c r="D46" s="50" t="s">
        <v>96</v>
      </c>
      <c r="E46" s="50" t="s">
        <v>246</v>
      </c>
      <c r="F46" s="51">
        <v>4</v>
      </c>
      <c r="G46" s="51">
        <v>1</v>
      </c>
    </row>
    <row r="47" spans="1:7">
      <c r="A47" s="50" t="s">
        <v>95</v>
      </c>
      <c r="B47" s="50" t="s">
        <v>104</v>
      </c>
      <c r="C47" s="50" t="s">
        <v>350</v>
      </c>
      <c r="D47" s="50" t="s">
        <v>96</v>
      </c>
      <c r="E47" s="50" t="s">
        <v>350</v>
      </c>
      <c r="F47" s="51">
        <v>4</v>
      </c>
      <c r="G47" s="51">
        <v>1</v>
      </c>
    </row>
    <row r="48" spans="1:7">
      <c r="A48" s="50" t="s">
        <v>95</v>
      </c>
      <c r="B48" s="50" t="s">
        <v>211</v>
      </c>
      <c r="C48" s="50" t="s">
        <v>351</v>
      </c>
      <c r="D48" s="50" t="s">
        <v>96</v>
      </c>
      <c r="E48" s="50" t="s">
        <v>351</v>
      </c>
      <c r="F48" s="51">
        <v>3</v>
      </c>
      <c r="G48" s="51">
        <v>1</v>
      </c>
    </row>
    <row r="49" spans="1:7">
      <c r="A49" s="50" t="s">
        <v>95</v>
      </c>
      <c r="B49" s="50" t="s">
        <v>104</v>
      </c>
      <c r="C49" s="50" t="s">
        <v>148</v>
      </c>
      <c r="D49" s="50" t="s">
        <v>96</v>
      </c>
      <c r="E49" s="50" t="s">
        <v>148</v>
      </c>
      <c r="F49" s="51">
        <v>3</v>
      </c>
      <c r="G49" s="51">
        <v>1</v>
      </c>
    </row>
    <row r="50" spans="1:7">
      <c r="A50" s="50" t="s">
        <v>95</v>
      </c>
      <c r="B50" s="50" t="s">
        <v>104</v>
      </c>
      <c r="C50" s="50" t="s">
        <v>352</v>
      </c>
      <c r="D50" s="50" t="s">
        <v>96</v>
      </c>
      <c r="E50" s="50" t="s">
        <v>352</v>
      </c>
      <c r="F50" s="51">
        <v>3</v>
      </c>
      <c r="G50" s="51">
        <v>1</v>
      </c>
    </row>
    <row r="51" spans="1:7">
      <c r="A51" s="50" t="s">
        <v>95</v>
      </c>
      <c r="B51" s="50" t="s">
        <v>104</v>
      </c>
      <c r="C51" s="50" t="s">
        <v>157</v>
      </c>
      <c r="D51" s="50" t="s">
        <v>96</v>
      </c>
      <c r="E51" s="50" t="s">
        <v>157</v>
      </c>
      <c r="F51" s="51">
        <v>3</v>
      </c>
      <c r="G51" s="51">
        <v>2</v>
      </c>
    </row>
    <row r="52" spans="1:7">
      <c r="A52" s="50" t="s">
        <v>95</v>
      </c>
      <c r="B52" s="50" t="s">
        <v>104</v>
      </c>
      <c r="C52" s="50" t="s">
        <v>159</v>
      </c>
      <c r="D52" s="50" t="s">
        <v>96</v>
      </c>
      <c r="E52" s="50" t="s">
        <v>159</v>
      </c>
      <c r="F52" s="51">
        <v>3</v>
      </c>
      <c r="G52" s="51">
        <v>2</v>
      </c>
    </row>
    <row r="53" spans="1:7">
      <c r="A53" s="50" t="s">
        <v>95</v>
      </c>
      <c r="B53" s="50" t="s">
        <v>104</v>
      </c>
      <c r="C53" s="50" t="s">
        <v>353</v>
      </c>
      <c r="D53" s="50" t="s">
        <v>96</v>
      </c>
      <c r="E53" s="50" t="s">
        <v>353</v>
      </c>
      <c r="F53" s="51">
        <v>3</v>
      </c>
      <c r="G53" s="51">
        <v>2</v>
      </c>
    </row>
    <row r="54" spans="1:7">
      <c r="A54" s="50" t="s">
        <v>95</v>
      </c>
      <c r="B54" s="50" t="s">
        <v>104</v>
      </c>
      <c r="C54" s="50" t="s">
        <v>113</v>
      </c>
      <c r="D54" s="50" t="s">
        <v>96</v>
      </c>
      <c r="E54" s="50" t="s">
        <v>113</v>
      </c>
      <c r="F54" s="51">
        <v>3</v>
      </c>
      <c r="G54" s="51">
        <v>3</v>
      </c>
    </row>
    <row r="55" spans="1:7">
      <c r="A55" s="50" t="s">
        <v>95</v>
      </c>
      <c r="B55" s="50" t="s">
        <v>104</v>
      </c>
      <c r="C55" s="50" t="s">
        <v>244</v>
      </c>
      <c r="D55" s="50" t="s">
        <v>96</v>
      </c>
      <c r="E55" s="50" t="s">
        <v>244</v>
      </c>
      <c r="F55" s="51">
        <v>3</v>
      </c>
      <c r="G55" s="51">
        <v>1</v>
      </c>
    </row>
    <row r="56" spans="1:7">
      <c r="A56" s="50" t="s">
        <v>95</v>
      </c>
      <c r="B56" s="50" t="s">
        <v>104</v>
      </c>
      <c r="C56" s="50" t="s">
        <v>127</v>
      </c>
      <c r="D56" s="50" t="s">
        <v>96</v>
      </c>
      <c r="E56" s="50" t="s">
        <v>127</v>
      </c>
      <c r="F56" s="51">
        <v>3</v>
      </c>
      <c r="G56" s="51">
        <v>2</v>
      </c>
    </row>
    <row r="57" spans="1:7">
      <c r="A57" s="50" t="s">
        <v>95</v>
      </c>
      <c r="B57" s="50" t="s">
        <v>354</v>
      </c>
      <c r="C57" s="50" t="s">
        <v>96</v>
      </c>
      <c r="D57" s="50" t="s">
        <v>96</v>
      </c>
      <c r="E57" s="50" t="s">
        <v>354</v>
      </c>
      <c r="F57" s="51">
        <v>2</v>
      </c>
      <c r="G57" s="51">
        <v>1</v>
      </c>
    </row>
    <row r="58" spans="1:7">
      <c r="A58" s="50" t="s">
        <v>95</v>
      </c>
      <c r="B58" s="50" t="s">
        <v>115</v>
      </c>
      <c r="C58" s="50" t="s">
        <v>96</v>
      </c>
      <c r="D58" s="50" t="s">
        <v>96</v>
      </c>
      <c r="E58" s="50" t="s">
        <v>115</v>
      </c>
      <c r="F58" s="51">
        <v>2</v>
      </c>
      <c r="G58" s="51">
        <v>2</v>
      </c>
    </row>
    <row r="59" spans="1:7">
      <c r="A59" s="50" t="s">
        <v>95</v>
      </c>
      <c r="B59" s="50" t="s">
        <v>211</v>
      </c>
      <c r="C59" s="50" t="s">
        <v>355</v>
      </c>
      <c r="D59" s="50" t="s">
        <v>96</v>
      </c>
      <c r="E59" s="50" t="s">
        <v>355</v>
      </c>
      <c r="F59" s="51">
        <v>2</v>
      </c>
      <c r="G59" s="51">
        <v>2</v>
      </c>
    </row>
    <row r="60" spans="1:7">
      <c r="A60" s="50" t="s">
        <v>95</v>
      </c>
      <c r="B60" s="50" t="s">
        <v>133</v>
      </c>
      <c r="C60" s="50" t="s">
        <v>96</v>
      </c>
      <c r="D60" s="50" t="s">
        <v>96</v>
      </c>
      <c r="E60" s="50" t="s">
        <v>133</v>
      </c>
      <c r="F60" s="51">
        <v>2</v>
      </c>
      <c r="G60" s="51">
        <v>2</v>
      </c>
    </row>
    <row r="61" spans="1:7">
      <c r="A61" s="50" t="s">
        <v>95</v>
      </c>
      <c r="B61" s="50" t="s">
        <v>356</v>
      </c>
      <c r="C61" s="50" t="s">
        <v>96</v>
      </c>
      <c r="D61" s="50" t="s">
        <v>96</v>
      </c>
      <c r="E61" s="50" t="s">
        <v>356</v>
      </c>
      <c r="F61" s="51">
        <v>2</v>
      </c>
      <c r="G61" s="51">
        <v>1</v>
      </c>
    </row>
    <row r="62" spans="1:7">
      <c r="A62" s="50" t="s">
        <v>95</v>
      </c>
      <c r="B62" s="50" t="s">
        <v>357</v>
      </c>
      <c r="C62" s="50" t="s">
        <v>96</v>
      </c>
      <c r="D62" s="50" t="s">
        <v>96</v>
      </c>
      <c r="E62" s="50" t="s">
        <v>357</v>
      </c>
      <c r="F62" s="51">
        <v>2</v>
      </c>
      <c r="G62" s="51">
        <v>1</v>
      </c>
    </row>
    <row r="63" spans="1:7">
      <c r="A63" s="50" t="s">
        <v>95</v>
      </c>
      <c r="B63" s="50" t="s">
        <v>137</v>
      </c>
      <c r="C63" s="50" t="s">
        <v>227</v>
      </c>
      <c r="D63" s="50" t="s">
        <v>96</v>
      </c>
      <c r="E63" s="50" t="s">
        <v>227</v>
      </c>
      <c r="F63" s="51">
        <v>2</v>
      </c>
      <c r="G63" s="51">
        <v>1</v>
      </c>
    </row>
    <row r="64" spans="1:7">
      <c r="A64" s="50" t="s">
        <v>95</v>
      </c>
      <c r="B64" s="50" t="s">
        <v>104</v>
      </c>
      <c r="C64" s="50" t="s">
        <v>146</v>
      </c>
      <c r="D64" s="50" t="s">
        <v>96</v>
      </c>
      <c r="E64" s="50" t="s">
        <v>146</v>
      </c>
      <c r="F64" s="51">
        <v>2</v>
      </c>
      <c r="G64" s="51">
        <v>1</v>
      </c>
    </row>
    <row r="65" spans="1:7">
      <c r="A65" s="50" t="s">
        <v>95</v>
      </c>
      <c r="B65" s="50" t="s">
        <v>104</v>
      </c>
      <c r="C65" s="50" t="s">
        <v>358</v>
      </c>
      <c r="D65" s="50" t="s">
        <v>96</v>
      </c>
      <c r="E65" s="50" t="s">
        <v>358</v>
      </c>
      <c r="F65" s="51">
        <v>2</v>
      </c>
      <c r="G65" s="51">
        <v>1</v>
      </c>
    </row>
    <row r="66" spans="1:7">
      <c r="A66" s="50" t="s">
        <v>95</v>
      </c>
      <c r="B66" s="50" t="s">
        <v>104</v>
      </c>
      <c r="C66" s="50" t="s">
        <v>359</v>
      </c>
      <c r="D66" s="50" t="s">
        <v>96</v>
      </c>
      <c r="E66" s="50" t="s">
        <v>359</v>
      </c>
      <c r="F66" s="51">
        <v>2</v>
      </c>
      <c r="G66" s="51">
        <v>1</v>
      </c>
    </row>
    <row r="67" spans="1:7">
      <c r="A67" s="50" t="s">
        <v>95</v>
      </c>
      <c r="B67" s="50" t="s">
        <v>104</v>
      </c>
      <c r="C67" s="50" t="s">
        <v>360</v>
      </c>
      <c r="D67" s="50" t="s">
        <v>96</v>
      </c>
      <c r="E67" s="50" t="s">
        <v>360</v>
      </c>
      <c r="F67" s="51">
        <v>2</v>
      </c>
      <c r="G67" s="51">
        <v>1</v>
      </c>
    </row>
    <row r="68" spans="1:7">
      <c r="A68" s="50" t="s">
        <v>95</v>
      </c>
      <c r="B68" s="50" t="s">
        <v>104</v>
      </c>
      <c r="C68" s="50" t="s">
        <v>361</v>
      </c>
      <c r="D68" s="50" t="s">
        <v>96</v>
      </c>
      <c r="E68" s="50" t="s">
        <v>361</v>
      </c>
      <c r="F68" s="51">
        <v>2</v>
      </c>
      <c r="G68" s="51">
        <v>1</v>
      </c>
    </row>
    <row r="69" spans="1:7">
      <c r="A69" s="50" t="s">
        <v>95</v>
      </c>
      <c r="B69" s="50" t="s">
        <v>104</v>
      </c>
      <c r="C69" s="50" t="s">
        <v>362</v>
      </c>
      <c r="D69" s="50" t="s">
        <v>363</v>
      </c>
      <c r="E69" s="50" t="s">
        <v>363</v>
      </c>
      <c r="F69" s="51">
        <v>2</v>
      </c>
      <c r="G69" s="51">
        <v>1</v>
      </c>
    </row>
    <row r="70" spans="1:7">
      <c r="A70" s="50" t="s">
        <v>95</v>
      </c>
      <c r="B70" s="50" t="s">
        <v>104</v>
      </c>
      <c r="C70" s="50" t="s">
        <v>362</v>
      </c>
      <c r="D70" s="50" t="s">
        <v>364</v>
      </c>
      <c r="E70" s="50" t="s">
        <v>364</v>
      </c>
      <c r="F70" s="51">
        <v>2</v>
      </c>
      <c r="G70" s="51">
        <v>1</v>
      </c>
    </row>
    <row r="71" spans="1:7">
      <c r="A71" s="50" t="s">
        <v>95</v>
      </c>
      <c r="B71" s="50" t="s">
        <v>104</v>
      </c>
      <c r="C71" s="50" t="s">
        <v>163</v>
      </c>
      <c r="D71" s="50" t="s">
        <v>96</v>
      </c>
      <c r="E71" s="50" t="s">
        <v>163</v>
      </c>
      <c r="F71" s="51">
        <v>2</v>
      </c>
      <c r="G71" s="51">
        <v>1</v>
      </c>
    </row>
    <row r="72" spans="1:7">
      <c r="A72" s="50" t="s">
        <v>95</v>
      </c>
      <c r="B72" s="50" t="s">
        <v>104</v>
      </c>
      <c r="C72" s="50" t="s">
        <v>365</v>
      </c>
      <c r="D72" s="50" t="s">
        <v>96</v>
      </c>
      <c r="E72" s="50" t="s">
        <v>365</v>
      </c>
      <c r="F72" s="51">
        <v>2</v>
      </c>
      <c r="G72" s="51">
        <v>1</v>
      </c>
    </row>
    <row r="73" spans="1:7">
      <c r="A73" s="50" t="s">
        <v>95</v>
      </c>
      <c r="B73" s="50" t="s">
        <v>104</v>
      </c>
      <c r="C73" s="50" t="s">
        <v>366</v>
      </c>
      <c r="D73" s="50" t="s">
        <v>96</v>
      </c>
      <c r="E73" s="50" t="s">
        <v>366</v>
      </c>
      <c r="F73" s="51">
        <v>2</v>
      </c>
      <c r="G73" s="51">
        <v>1</v>
      </c>
    </row>
    <row r="74" spans="1:7">
      <c r="A74" s="50" t="s">
        <v>95</v>
      </c>
      <c r="B74" s="50" t="s">
        <v>104</v>
      </c>
      <c r="C74" s="50" t="s">
        <v>172</v>
      </c>
      <c r="D74" s="50" t="s">
        <v>96</v>
      </c>
      <c r="E74" s="50" t="s">
        <v>172</v>
      </c>
      <c r="F74" s="51">
        <v>2</v>
      </c>
      <c r="G74" s="51">
        <v>2</v>
      </c>
    </row>
    <row r="75" spans="1:7">
      <c r="A75" s="50" t="s">
        <v>95</v>
      </c>
      <c r="B75" s="50" t="s">
        <v>104</v>
      </c>
      <c r="C75" s="50" t="s">
        <v>367</v>
      </c>
      <c r="D75" s="50" t="s">
        <v>96</v>
      </c>
      <c r="E75" s="50" t="s">
        <v>367</v>
      </c>
      <c r="F75" s="51">
        <v>2</v>
      </c>
      <c r="G75" s="51">
        <v>1</v>
      </c>
    </row>
    <row r="76" spans="1:7">
      <c r="A76" s="50" t="s">
        <v>95</v>
      </c>
      <c r="B76" s="50" t="s">
        <v>104</v>
      </c>
      <c r="C76" s="50" t="s">
        <v>368</v>
      </c>
      <c r="D76" s="50" t="s">
        <v>96</v>
      </c>
      <c r="E76" s="50" t="s">
        <v>368</v>
      </c>
      <c r="F76" s="51">
        <v>2</v>
      </c>
      <c r="G76" s="51">
        <v>1</v>
      </c>
    </row>
    <row r="77" spans="1:7">
      <c r="A77" s="50" t="s">
        <v>95</v>
      </c>
      <c r="B77" s="50" t="s">
        <v>104</v>
      </c>
      <c r="C77" s="50" t="s">
        <v>369</v>
      </c>
      <c r="D77" s="50" t="s">
        <v>96</v>
      </c>
      <c r="E77" s="50" t="s">
        <v>369</v>
      </c>
      <c r="F77" s="51">
        <v>2</v>
      </c>
      <c r="G77" s="51">
        <v>1</v>
      </c>
    </row>
    <row r="78" spans="1:7">
      <c r="A78" s="50" t="s">
        <v>95</v>
      </c>
      <c r="B78" s="50" t="s">
        <v>104</v>
      </c>
      <c r="C78" s="50" t="s">
        <v>242</v>
      </c>
      <c r="D78" s="50" t="s">
        <v>96</v>
      </c>
      <c r="E78" s="50" t="s">
        <v>242</v>
      </c>
      <c r="F78" s="51">
        <v>2</v>
      </c>
      <c r="G78" s="51">
        <v>2</v>
      </c>
    </row>
    <row r="79" spans="1:7">
      <c r="A79" s="50" t="s">
        <v>95</v>
      </c>
      <c r="B79" s="50" t="s">
        <v>104</v>
      </c>
      <c r="C79" s="50" t="s">
        <v>370</v>
      </c>
      <c r="D79" s="50" t="s">
        <v>96</v>
      </c>
      <c r="E79" s="50" t="s">
        <v>370</v>
      </c>
      <c r="F79" s="51">
        <v>2</v>
      </c>
      <c r="G79" s="51">
        <v>2</v>
      </c>
    </row>
    <row r="80" spans="1:7">
      <c r="A80" s="50" t="s">
        <v>95</v>
      </c>
      <c r="B80" s="50" t="s">
        <v>104</v>
      </c>
      <c r="C80" s="50" t="s">
        <v>125</v>
      </c>
      <c r="D80" s="50" t="s">
        <v>96</v>
      </c>
      <c r="E80" s="50" t="s">
        <v>125</v>
      </c>
      <c r="F80" s="51">
        <v>2</v>
      </c>
      <c r="G80" s="51">
        <v>1</v>
      </c>
    </row>
    <row r="81" spans="1:7">
      <c r="A81" s="50" t="s">
        <v>95</v>
      </c>
      <c r="B81" s="50" t="s">
        <v>104</v>
      </c>
      <c r="C81" s="50" t="s">
        <v>371</v>
      </c>
      <c r="D81" s="50" t="s">
        <v>96</v>
      </c>
      <c r="E81" s="50" t="s">
        <v>371</v>
      </c>
      <c r="F81" s="51">
        <v>2</v>
      </c>
      <c r="G81" s="51">
        <v>1</v>
      </c>
    </row>
    <row r="82" spans="1:7">
      <c r="A82" s="50" t="s">
        <v>95</v>
      </c>
      <c r="B82" s="50" t="s">
        <v>104</v>
      </c>
      <c r="C82" s="50" t="s">
        <v>372</v>
      </c>
      <c r="D82" s="50" t="s">
        <v>96</v>
      </c>
      <c r="E82" s="50" t="s">
        <v>372</v>
      </c>
      <c r="F82" s="51">
        <v>2</v>
      </c>
      <c r="G82" s="51">
        <v>1</v>
      </c>
    </row>
    <row r="83" spans="1:7">
      <c r="A83" s="50" t="s">
        <v>95</v>
      </c>
      <c r="B83" s="50" t="s">
        <v>104</v>
      </c>
      <c r="C83" s="50" t="s">
        <v>373</v>
      </c>
      <c r="D83" s="50" t="s">
        <v>96</v>
      </c>
      <c r="E83" s="50" t="s">
        <v>373</v>
      </c>
      <c r="F83" s="51">
        <v>2</v>
      </c>
      <c r="G83" s="51">
        <v>2</v>
      </c>
    </row>
    <row r="84" spans="1:7">
      <c r="A84" s="50" t="s">
        <v>95</v>
      </c>
      <c r="B84" s="50" t="s">
        <v>374</v>
      </c>
      <c r="C84" s="50" t="s">
        <v>96</v>
      </c>
      <c r="D84" s="50" t="s">
        <v>96</v>
      </c>
      <c r="E84" s="50" t="s">
        <v>374</v>
      </c>
      <c r="F84" s="51">
        <v>1</v>
      </c>
      <c r="G84" s="51">
        <v>1</v>
      </c>
    </row>
    <row r="85" spans="1:7">
      <c r="A85" s="50" t="s">
        <v>95</v>
      </c>
      <c r="B85" s="50" t="s">
        <v>375</v>
      </c>
      <c r="C85" s="50" t="s">
        <v>376</v>
      </c>
      <c r="D85" s="50" t="s">
        <v>96</v>
      </c>
      <c r="E85" s="50" t="s">
        <v>376</v>
      </c>
      <c r="F85" s="51">
        <v>1</v>
      </c>
      <c r="G85" s="51">
        <v>1</v>
      </c>
    </row>
    <row r="86" spans="1:7">
      <c r="A86" s="50" t="s">
        <v>95</v>
      </c>
      <c r="B86" s="50" t="s">
        <v>377</v>
      </c>
      <c r="C86" s="50" t="s">
        <v>96</v>
      </c>
      <c r="D86" s="50" t="s">
        <v>96</v>
      </c>
      <c r="E86" s="50" t="s">
        <v>377</v>
      </c>
      <c r="F86" s="51">
        <v>1</v>
      </c>
      <c r="G86" s="51">
        <v>1</v>
      </c>
    </row>
    <row r="87" spans="1:7">
      <c r="A87" s="50" t="s">
        <v>95</v>
      </c>
      <c r="B87" s="50" t="s">
        <v>129</v>
      </c>
      <c r="C87" s="50" t="s">
        <v>130</v>
      </c>
      <c r="D87" s="50" t="s">
        <v>96</v>
      </c>
      <c r="E87" s="50" t="s">
        <v>130</v>
      </c>
      <c r="F87" s="51">
        <v>1</v>
      </c>
      <c r="G87" s="51">
        <v>1</v>
      </c>
    </row>
    <row r="88" spans="1:7">
      <c r="A88" s="50" t="s">
        <v>95</v>
      </c>
      <c r="B88" s="50" t="s">
        <v>378</v>
      </c>
      <c r="C88" s="50" t="s">
        <v>96</v>
      </c>
      <c r="D88" s="50" t="s">
        <v>96</v>
      </c>
      <c r="E88" s="50" t="s">
        <v>378</v>
      </c>
      <c r="F88" s="51">
        <v>1</v>
      </c>
      <c r="G88" s="51">
        <v>1</v>
      </c>
    </row>
    <row r="89" spans="1:7">
      <c r="A89" s="50" t="s">
        <v>95</v>
      </c>
      <c r="B89" s="50" t="s">
        <v>379</v>
      </c>
      <c r="C89" s="50" t="s">
        <v>380</v>
      </c>
      <c r="D89" s="50" t="s">
        <v>381</v>
      </c>
      <c r="E89" s="50" t="s">
        <v>382</v>
      </c>
      <c r="F89" s="51">
        <v>1</v>
      </c>
      <c r="G89" s="51">
        <v>1</v>
      </c>
    </row>
    <row r="90" spans="1:7">
      <c r="A90" s="50" t="s">
        <v>95</v>
      </c>
      <c r="B90" s="50" t="s">
        <v>224</v>
      </c>
      <c r="C90" s="50" t="s">
        <v>96</v>
      </c>
      <c r="D90" s="50" t="s">
        <v>96</v>
      </c>
      <c r="E90" s="50" t="s">
        <v>224</v>
      </c>
      <c r="F90" s="51">
        <v>1</v>
      </c>
      <c r="G90" s="51">
        <v>1</v>
      </c>
    </row>
    <row r="91" spans="1:7">
      <c r="A91" s="50" t="s">
        <v>95</v>
      </c>
      <c r="B91" s="50" t="s">
        <v>383</v>
      </c>
      <c r="C91" s="50" t="s">
        <v>96</v>
      </c>
      <c r="D91" s="50" t="s">
        <v>96</v>
      </c>
      <c r="E91" s="50" t="s">
        <v>383</v>
      </c>
      <c r="F91" s="51">
        <v>1</v>
      </c>
      <c r="G91" s="51">
        <v>1</v>
      </c>
    </row>
    <row r="92" spans="1:7">
      <c r="A92" s="50" t="s">
        <v>95</v>
      </c>
      <c r="B92" s="50" t="s">
        <v>137</v>
      </c>
      <c r="C92" s="50" t="s">
        <v>140</v>
      </c>
      <c r="D92" s="50" t="s">
        <v>96</v>
      </c>
      <c r="E92" s="50" t="s">
        <v>140</v>
      </c>
      <c r="F92" s="51">
        <v>1</v>
      </c>
      <c r="G92" s="51">
        <v>1</v>
      </c>
    </row>
    <row r="93" spans="1:7">
      <c r="A93" s="50" t="s">
        <v>95</v>
      </c>
      <c r="B93" s="50" t="s">
        <v>104</v>
      </c>
      <c r="C93" s="50" t="s">
        <v>96</v>
      </c>
      <c r="D93" s="50" t="s">
        <v>96</v>
      </c>
      <c r="E93" s="50" t="s">
        <v>104</v>
      </c>
      <c r="F93" s="51">
        <v>1</v>
      </c>
      <c r="G93" s="51">
        <v>1</v>
      </c>
    </row>
    <row r="94" spans="1:7">
      <c r="A94" s="50" t="s">
        <v>95</v>
      </c>
      <c r="B94" s="50" t="s">
        <v>104</v>
      </c>
      <c r="C94" s="50" t="s">
        <v>384</v>
      </c>
      <c r="D94" s="50" t="s">
        <v>96</v>
      </c>
      <c r="E94" s="50" t="s">
        <v>384</v>
      </c>
      <c r="F94" s="51">
        <v>1</v>
      </c>
      <c r="G94" s="51">
        <v>1</v>
      </c>
    </row>
    <row r="95" spans="1:7">
      <c r="A95" s="50" t="s">
        <v>95</v>
      </c>
      <c r="B95" s="50" t="s">
        <v>104</v>
      </c>
      <c r="C95" s="50" t="s">
        <v>385</v>
      </c>
      <c r="D95" s="50" t="s">
        <v>96</v>
      </c>
      <c r="E95" s="50" t="s">
        <v>385</v>
      </c>
      <c r="F95" s="51">
        <v>1</v>
      </c>
      <c r="G95" s="51">
        <v>1</v>
      </c>
    </row>
    <row r="96" spans="1:7">
      <c r="A96" s="50" t="s">
        <v>95</v>
      </c>
      <c r="B96" s="50" t="s">
        <v>104</v>
      </c>
      <c r="C96" s="50" t="s">
        <v>149</v>
      </c>
      <c r="D96" s="50" t="s">
        <v>96</v>
      </c>
      <c r="E96" s="50" t="s">
        <v>149</v>
      </c>
      <c r="F96" s="51">
        <v>1</v>
      </c>
      <c r="G96" s="51">
        <v>1</v>
      </c>
    </row>
    <row r="97" spans="1:7">
      <c r="A97" s="50" t="s">
        <v>95</v>
      </c>
      <c r="B97" s="50" t="s">
        <v>104</v>
      </c>
      <c r="C97" s="50" t="s">
        <v>229</v>
      </c>
      <c r="D97" s="50" t="s">
        <v>96</v>
      </c>
      <c r="E97" s="50" t="s">
        <v>229</v>
      </c>
      <c r="F97" s="51">
        <v>1</v>
      </c>
      <c r="G97" s="51">
        <v>1</v>
      </c>
    </row>
    <row r="98" spans="1:7">
      <c r="A98" s="50" t="s">
        <v>95</v>
      </c>
      <c r="B98" s="50" t="s">
        <v>104</v>
      </c>
      <c r="C98" s="50" t="s">
        <v>150</v>
      </c>
      <c r="D98" s="50" t="s">
        <v>96</v>
      </c>
      <c r="E98" s="50" t="s">
        <v>150</v>
      </c>
      <c r="F98" s="51">
        <v>1</v>
      </c>
      <c r="G98" s="51">
        <v>1</v>
      </c>
    </row>
    <row r="99" spans="1:7">
      <c r="A99" s="50" t="s">
        <v>95</v>
      </c>
      <c r="B99" s="50" t="s">
        <v>104</v>
      </c>
      <c r="C99" s="50" t="s">
        <v>151</v>
      </c>
      <c r="D99" s="50" t="s">
        <v>96</v>
      </c>
      <c r="E99" s="50" t="s">
        <v>151</v>
      </c>
      <c r="F99" s="51">
        <v>1</v>
      </c>
      <c r="G99" s="51">
        <v>1</v>
      </c>
    </row>
    <row r="100" spans="1:7">
      <c r="A100" s="50" t="s">
        <v>95</v>
      </c>
      <c r="B100" s="50" t="s">
        <v>104</v>
      </c>
      <c r="C100" s="50" t="s">
        <v>152</v>
      </c>
      <c r="D100" s="50" t="s">
        <v>96</v>
      </c>
      <c r="E100" s="50" t="s">
        <v>152</v>
      </c>
      <c r="F100" s="51">
        <v>1</v>
      </c>
      <c r="G100" s="51">
        <v>1</v>
      </c>
    </row>
    <row r="101" spans="1:7">
      <c r="A101" s="50" t="s">
        <v>95</v>
      </c>
      <c r="B101" s="50" t="s">
        <v>104</v>
      </c>
      <c r="C101" s="50" t="s">
        <v>231</v>
      </c>
      <c r="D101" s="50" t="s">
        <v>96</v>
      </c>
      <c r="E101" s="50" t="s">
        <v>231</v>
      </c>
      <c r="F101" s="51">
        <v>1</v>
      </c>
      <c r="G101" s="51">
        <v>1</v>
      </c>
    </row>
    <row r="102" spans="1:7">
      <c r="A102" s="50" t="s">
        <v>95</v>
      </c>
      <c r="B102" s="50" t="s">
        <v>104</v>
      </c>
      <c r="C102" s="50" t="s">
        <v>153</v>
      </c>
      <c r="D102" s="50" t="s">
        <v>96</v>
      </c>
      <c r="E102" s="50" t="s">
        <v>153</v>
      </c>
      <c r="F102" s="51">
        <v>1</v>
      </c>
      <c r="G102" s="51">
        <v>1</v>
      </c>
    </row>
    <row r="103" spans="1:7">
      <c r="A103" s="50" t="s">
        <v>95</v>
      </c>
      <c r="B103" s="50" t="s">
        <v>104</v>
      </c>
      <c r="C103" s="50" t="s">
        <v>386</v>
      </c>
      <c r="D103" s="50" t="s">
        <v>96</v>
      </c>
      <c r="E103" s="50" t="s">
        <v>386</v>
      </c>
      <c r="F103" s="51">
        <v>1</v>
      </c>
      <c r="G103" s="51">
        <v>1</v>
      </c>
    </row>
    <row r="104" spans="1:7">
      <c r="A104" s="50" t="s">
        <v>95</v>
      </c>
      <c r="B104" s="50" t="s">
        <v>104</v>
      </c>
      <c r="C104" s="50" t="s">
        <v>154</v>
      </c>
      <c r="D104" s="50" t="s">
        <v>96</v>
      </c>
      <c r="E104" s="50" t="s">
        <v>154</v>
      </c>
      <c r="F104" s="51">
        <v>1</v>
      </c>
      <c r="G104" s="51">
        <v>1</v>
      </c>
    </row>
    <row r="105" spans="1:7">
      <c r="A105" s="50" t="s">
        <v>95</v>
      </c>
      <c r="B105" s="50" t="s">
        <v>104</v>
      </c>
      <c r="C105" s="50" t="s">
        <v>387</v>
      </c>
      <c r="D105" s="50" t="s">
        <v>96</v>
      </c>
      <c r="E105" s="50" t="s">
        <v>387</v>
      </c>
      <c r="F105" s="51">
        <v>1</v>
      </c>
      <c r="G105" s="51">
        <v>1</v>
      </c>
    </row>
    <row r="106" spans="1:7">
      <c r="A106" s="50" t="s">
        <v>95</v>
      </c>
      <c r="B106" s="50" t="s">
        <v>104</v>
      </c>
      <c r="C106" s="50" t="s">
        <v>388</v>
      </c>
      <c r="D106" s="50" t="s">
        <v>96</v>
      </c>
      <c r="E106" s="50" t="s">
        <v>388</v>
      </c>
      <c r="F106" s="51">
        <v>1</v>
      </c>
      <c r="G106" s="51">
        <v>1</v>
      </c>
    </row>
    <row r="107" spans="1:7">
      <c r="A107" s="50" t="s">
        <v>95</v>
      </c>
      <c r="B107" s="50" t="s">
        <v>104</v>
      </c>
      <c r="C107" s="50" t="s">
        <v>233</v>
      </c>
      <c r="D107" s="50" t="s">
        <v>96</v>
      </c>
      <c r="E107" s="50" t="s">
        <v>233</v>
      </c>
      <c r="F107" s="51">
        <v>1</v>
      </c>
      <c r="G107" s="51">
        <v>1</v>
      </c>
    </row>
    <row r="108" spans="1:7">
      <c r="A108" s="50" t="s">
        <v>95</v>
      </c>
      <c r="B108" s="50" t="s">
        <v>104</v>
      </c>
      <c r="C108" s="50" t="s">
        <v>156</v>
      </c>
      <c r="D108" s="50" t="s">
        <v>96</v>
      </c>
      <c r="E108" s="50" t="s">
        <v>156</v>
      </c>
      <c r="F108" s="51">
        <v>1</v>
      </c>
      <c r="G108" s="51">
        <v>1</v>
      </c>
    </row>
    <row r="109" spans="1:7">
      <c r="A109" s="50" t="s">
        <v>95</v>
      </c>
      <c r="B109" s="50" t="s">
        <v>104</v>
      </c>
      <c r="C109" s="50" t="s">
        <v>389</v>
      </c>
      <c r="D109" s="50" t="s">
        <v>96</v>
      </c>
      <c r="E109" s="50" t="s">
        <v>389</v>
      </c>
      <c r="F109" s="51">
        <v>1</v>
      </c>
      <c r="G109" s="51">
        <v>1</v>
      </c>
    </row>
    <row r="110" spans="1:7">
      <c r="A110" s="50" t="s">
        <v>95</v>
      </c>
      <c r="B110" s="50" t="s">
        <v>104</v>
      </c>
      <c r="C110" s="50" t="s">
        <v>234</v>
      </c>
      <c r="D110" s="50" t="s">
        <v>96</v>
      </c>
      <c r="E110" s="50" t="s">
        <v>234</v>
      </c>
      <c r="F110" s="51">
        <v>1</v>
      </c>
      <c r="G110" s="51">
        <v>1</v>
      </c>
    </row>
    <row r="111" spans="1:7">
      <c r="A111" s="50" t="s">
        <v>95</v>
      </c>
      <c r="B111" s="50" t="s">
        <v>104</v>
      </c>
      <c r="C111" s="50" t="s">
        <v>390</v>
      </c>
      <c r="D111" s="50" t="s">
        <v>96</v>
      </c>
      <c r="E111" s="50" t="s">
        <v>390</v>
      </c>
      <c r="F111" s="51">
        <v>1</v>
      </c>
      <c r="G111" s="51">
        <v>1</v>
      </c>
    </row>
    <row r="112" spans="1:7">
      <c r="A112" s="50" t="s">
        <v>95</v>
      </c>
      <c r="B112" s="50" t="s">
        <v>104</v>
      </c>
      <c r="C112" s="50" t="s">
        <v>391</v>
      </c>
      <c r="D112" s="50" t="s">
        <v>96</v>
      </c>
      <c r="E112" s="50" t="s">
        <v>391</v>
      </c>
      <c r="F112" s="51">
        <v>1</v>
      </c>
      <c r="G112" s="51">
        <v>1</v>
      </c>
    </row>
    <row r="113" spans="1:7">
      <c r="A113" s="50" t="s">
        <v>95</v>
      </c>
      <c r="B113" s="50" t="s">
        <v>104</v>
      </c>
      <c r="C113" s="50" t="s">
        <v>161</v>
      </c>
      <c r="D113" s="50" t="s">
        <v>96</v>
      </c>
      <c r="E113" s="50" t="s">
        <v>161</v>
      </c>
      <c r="F113" s="51">
        <v>1</v>
      </c>
      <c r="G113" s="51">
        <v>1</v>
      </c>
    </row>
    <row r="114" spans="1:7">
      <c r="A114" s="50" t="s">
        <v>95</v>
      </c>
      <c r="B114" s="50" t="s">
        <v>104</v>
      </c>
      <c r="C114" s="50" t="s">
        <v>165</v>
      </c>
      <c r="D114" s="50" t="s">
        <v>96</v>
      </c>
      <c r="E114" s="50" t="s">
        <v>165</v>
      </c>
      <c r="F114" s="51">
        <v>1</v>
      </c>
      <c r="G114" s="51">
        <v>1</v>
      </c>
    </row>
    <row r="115" spans="1:7">
      <c r="A115" s="50" t="s">
        <v>95</v>
      </c>
      <c r="B115" s="50" t="s">
        <v>104</v>
      </c>
      <c r="C115" s="50" t="s">
        <v>166</v>
      </c>
      <c r="D115" s="50" t="s">
        <v>96</v>
      </c>
      <c r="E115" s="50" t="s">
        <v>166</v>
      </c>
      <c r="F115" s="51">
        <v>1</v>
      </c>
      <c r="G115" s="51">
        <v>1</v>
      </c>
    </row>
    <row r="116" spans="1:7">
      <c r="A116" s="50" t="s">
        <v>95</v>
      </c>
      <c r="B116" s="50" t="s">
        <v>104</v>
      </c>
      <c r="C116" s="50" t="s">
        <v>167</v>
      </c>
      <c r="D116" s="50" t="s">
        <v>96</v>
      </c>
      <c r="E116" s="50" t="s">
        <v>167</v>
      </c>
      <c r="F116" s="51">
        <v>1</v>
      </c>
      <c r="G116" s="51">
        <v>1</v>
      </c>
    </row>
    <row r="117" spans="1:7">
      <c r="A117" s="50" t="s">
        <v>95</v>
      </c>
      <c r="B117" s="50" t="s">
        <v>104</v>
      </c>
      <c r="C117" s="50" t="s">
        <v>169</v>
      </c>
      <c r="D117" s="50" t="s">
        <v>96</v>
      </c>
      <c r="E117" s="50" t="s">
        <v>169</v>
      </c>
      <c r="F117" s="51">
        <v>1</v>
      </c>
      <c r="G117" s="51">
        <v>1</v>
      </c>
    </row>
    <row r="118" spans="1:7">
      <c r="A118" s="50" t="s">
        <v>95</v>
      </c>
      <c r="B118" s="50" t="s">
        <v>104</v>
      </c>
      <c r="C118" s="50" t="s">
        <v>392</v>
      </c>
      <c r="D118" s="50" t="s">
        <v>96</v>
      </c>
      <c r="E118" s="50" t="s">
        <v>392</v>
      </c>
      <c r="F118" s="51">
        <v>1</v>
      </c>
      <c r="G118" s="51">
        <v>1</v>
      </c>
    </row>
    <row r="119" spans="1:7">
      <c r="A119" s="50" t="s">
        <v>95</v>
      </c>
      <c r="B119" s="50" t="s">
        <v>104</v>
      </c>
      <c r="C119" s="50" t="s">
        <v>393</v>
      </c>
      <c r="D119" s="50" t="s">
        <v>96</v>
      </c>
      <c r="E119" s="50" t="s">
        <v>393</v>
      </c>
      <c r="F119" s="51">
        <v>1</v>
      </c>
      <c r="G119" s="51">
        <v>1</v>
      </c>
    </row>
    <row r="120" spans="1:7">
      <c r="A120" s="50" t="s">
        <v>95</v>
      </c>
      <c r="B120" s="50" t="s">
        <v>104</v>
      </c>
      <c r="C120" s="50" t="s">
        <v>394</v>
      </c>
      <c r="D120" s="50" t="s">
        <v>96</v>
      </c>
      <c r="E120" s="50" t="s">
        <v>394</v>
      </c>
      <c r="F120" s="51">
        <v>1</v>
      </c>
      <c r="G120" s="51">
        <v>1</v>
      </c>
    </row>
    <row r="121" spans="1:7">
      <c r="A121" s="50" t="s">
        <v>95</v>
      </c>
      <c r="B121" s="50" t="s">
        <v>104</v>
      </c>
      <c r="C121" s="50" t="s">
        <v>173</v>
      </c>
      <c r="D121" s="50" t="s">
        <v>96</v>
      </c>
      <c r="E121" s="50" t="s">
        <v>173</v>
      </c>
      <c r="F121" s="51">
        <v>1</v>
      </c>
      <c r="G121" s="51">
        <v>1</v>
      </c>
    </row>
    <row r="122" spans="1:7">
      <c r="A122" s="50" t="s">
        <v>95</v>
      </c>
      <c r="B122" s="50" t="s">
        <v>104</v>
      </c>
      <c r="C122" s="50" t="s">
        <v>395</v>
      </c>
      <c r="D122" s="50" t="s">
        <v>96</v>
      </c>
      <c r="E122" s="50" t="s">
        <v>395</v>
      </c>
      <c r="F122" s="51">
        <v>1</v>
      </c>
      <c r="G122" s="51">
        <v>1</v>
      </c>
    </row>
    <row r="123" spans="1:7">
      <c r="A123" s="50" t="s">
        <v>95</v>
      </c>
      <c r="B123" s="50" t="s">
        <v>104</v>
      </c>
      <c r="C123" s="50" t="s">
        <v>396</v>
      </c>
      <c r="D123" s="50" t="s">
        <v>96</v>
      </c>
      <c r="E123" s="50" t="s">
        <v>396</v>
      </c>
      <c r="F123" s="51">
        <v>1</v>
      </c>
      <c r="G123" s="51">
        <v>1</v>
      </c>
    </row>
    <row r="124" spans="1:7">
      <c r="A124" s="50" t="s">
        <v>95</v>
      </c>
      <c r="B124" s="50" t="s">
        <v>104</v>
      </c>
      <c r="C124" s="50" t="s">
        <v>397</v>
      </c>
      <c r="D124" s="50" t="s">
        <v>96</v>
      </c>
      <c r="E124" s="50" t="s">
        <v>397</v>
      </c>
      <c r="F124" s="51">
        <v>1</v>
      </c>
      <c r="G124" s="51">
        <v>1</v>
      </c>
    </row>
    <row r="125" spans="1:7">
      <c r="A125" s="50" t="s">
        <v>95</v>
      </c>
      <c r="B125" s="50" t="s">
        <v>104</v>
      </c>
      <c r="C125" s="50" t="s">
        <v>176</v>
      </c>
      <c r="D125" s="50" t="s">
        <v>96</v>
      </c>
      <c r="E125" s="50" t="s">
        <v>176</v>
      </c>
      <c r="F125" s="51">
        <v>1</v>
      </c>
      <c r="G125" s="51">
        <v>1</v>
      </c>
    </row>
    <row r="126" spans="1:7">
      <c r="A126" s="50" t="s">
        <v>95</v>
      </c>
      <c r="B126" s="50" t="s">
        <v>104</v>
      </c>
      <c r="C126" s="50" t="s">
        <v>177</v>
      </c>
      <c r="D126" s="50" t="s">
        <v>96</v>
      </c>
      <c r="E126" s="50" t="s">
        <v>177</v>
      </c>
      <c r="F126" s="51">
        <v>1</v>
      </c>
      <c r="G126" s="51">
        <v>1</v>
      </c>
    </row>
    <row r="127" spans="1:7">
      <c r="A127" s="50" t="s">
        <v>95</v>
      </c>
      <c r="B127" s="50" t="s">
        <v>104</v>
      </c>
      <c r="C127" s="50" t="s">
        <v>398</v>
      </c>
      <c r="D127" s="50" t="s">
        <v>96</v>
      </c>
      <c r="E127" s="50" t="s">
        <v>398</v>
      </c>
      <c r="F127" s="51">
        <v>1</v>
      </c>
      <c r="G127" s="51">
        <v>1</v>
      </c>
    </row>
    <row r="128" spans="1:7">
      <c r="A128" s="50" t="s">
        <v>95</v>
      </c>
      <c r="B128" s="50" t="s">
        <v>104</v>
      </c>
      <c r="C128" s="50" t="s">
        <v>399</v>
      </c>
      <c r="D128" s="50" t="s">
        <v>96</v>
      </c>
      <c r="E128" s="50" t="s">
        <v>399</v>
      </c>
      <c r="F128" s="51">
        <v>1</v>
      </c>
      <c r="G128" s="51">
        <v>1</v>
      </c>
    </row>
    <row r="129" spans="1:7">
      <c r="A129" s="50" t="s">
        <v>95</v>
      </c>
      <c r="B129" s="50" t="s">
        <v>104</v>
      </c>
      <c r="C129" s="50" t="s">
        <v>178</v>
      </c>
      <c r="D129" s="50" t="s">
        <v>96</v>
      </c>
      <c r="E129" s="50" t="s">
        <v>178</v>
      </c>
      <c r="F129" s="51">
        <v>1</v>
      </c>
      <c r="G129" s="51">
        <v>1</v>
      </c>
    </row>
    <row r="130" spans="1:7">
      <c r="A130" s="50" t="s">
        <v>95</v>
      </c>
      <c r="B130" s="50" t="s">
        <v>104</v>
      </c>
      <c r="C130" s="50" t="s">
        <v>400</v>
      </c>
      <c r="D130" s="50" t="s">
        <v>96</v>
      </c>
      <c r="E130" s="50" t="s">
        <v>400</v>
      </c>
      <c r="F130" s="51">
        <v>1</v>
      </c>
      <c r="G130" s="51">
        <v>1</v>
      </c>
    </row>
    <row r="131" spans="1:7">
      <c r="A131" s="50" t="s">
        <v>95</v>
      </c>
      <c r="B131" s="50" t="s">
        <v>104</v>
      </c>
      <c r="C131" s="50" t="s">
        <v>401</v>
      </c>
      <c r="D131" s="50" t="s">
        <v>96</v>
      </c>
      <c r="E131" s="50" t="s">
        <v>401</v>
      </c>
      <c r="F131" s="51">
        <v>1</v>
      </c>
      <c r="G131" s="51">
        <v>1</v>
      </c>
    </row>
    <row r="132" spans="1:7">
      <c r="A132" s="50" t="s">
        <v>95</v>
      </c>
      <c r="B132" s="50" t="s">
        <v>104</v>
      </c>
      <c r="C132" s="50" t="s">
        <v>248</v>
      </c>
      <c r="D132" s="50" t="s">
        <v>96</v>
      </c>
      <c r="E132" s="50" t="s">
        <v>248</v>
      </c>
      <c r="F132" s="51">
        <v>1</v>
      </c>
      <c r="G132" s="51">
        <v>1</v>
      </c>
    </row>
    <row r="133" spans="1:7">
      <c r="A133" s="50" t="s">
        <v>95</v>
      </c>
      <c r="B133" s="50" t="s">
        <v>104</v>
      </c>
      <c r="C133" s="50" t="s">
        <v>183</v>
      </c>
      <c r="D133" s="50" t="s">
        <v>96</v>
      </c>
      <c r="E133" s="50" t="s">
        <v>183</v>
      </c>
      <c r="F133" s="51">
        <v>1</v>
      </c>
      <c r="G133" s="51">
        <v>1</v>
      </c>
    </row>
    <row r="134" spans="1:7">
      <c r="A134" s="50" t="s">
        <v>95</v>
      </c>
      <c r="B134" s="50" t="s">
        <v>104</v>
      </c>
      <c r="C134" s="50" t="s">
        <v>185</v>
      </c>
      <c r="D134" s="50" t="s">
        <v>96</v>
      </c>
      <c r="E134" s="50" t="s">
        <v>185</v>
      </c>
      <c r="F134" s="51">
        <v>1</v>
      </c>
      <c r="G134" s="51">
        <v>1</v>
      </c>
    </row>
    <row r="135" spans="1:7">
      <c r="A135" s="50" t="s">
        <v>95</v>
      </c>
      <c r="B135" s="50" t="s">
        <v>104</v>
      </c>
      <c r="C135" s="50" t="s">
        <v>250</v>
      </c>
      <c r="D135" s="50" t="s">
        <v>96</v>
      </c>
      <c r="E135" s="50" t="s">
        <v>250</v>
      </c>
      <c r="F135" s="51">
        <v>1</v>
      </c>
      <c r="G135" s="51">
        <v>1</v>
      </c>
    </row>
    <row r="136" spans="1:7">
      <c r="A136" s="50" t="s">
        <v>95</v>
      </c>
      <c r="B136" s="50" t="s">
        <v>104</v>
      </c>
      <c r="C136" s="50" t="s">
        <v>186</v>
      </c>
      <c r="D136" s="50" t="s">
        <v>96</v>
      </c>
      <c r="E136" s="50" t="s">
        <v>186</v>
      </c>
      <c r="F136" s="51">
        <v>1</v>
      </c>
      <c r="G136" s="51">
        <v>1</v>
      </c>
    </row>
    <row r="137" spans="1:7">
      <c r="A137" s="50" t="s">
        <v>95</v>
      </c>
      <c r="B137" s="50" t="s">
        <v>104</v>
      </c>
      <c r="C137" s="50" t="s">
        <v>187</v>
      </c>
      <c r="D137" s="50" t="s">
        <v>96</v>
      </c>
      <c r="E137" s="50" t="s">
        <v>187</v>
      </c>
      <c r="F137" s="51">
        <v>1</v>
      </c>
      <c r="G137" s="51">
        <v>1</v>
      </c>
    </row>
    <row r="138" spans="1:7">
      <c r="A138" s="50" t="s">
        <v>95</v>
      </c>
      <c r="B138" s="50" t="s">
        <v>104</v>
      </c>
      <c r="C138" s="50" t="s">
        <v>402</v>
      </c>
      <c r="D138" s="50" t="s">
        <v>96</v>
      </c>
      <c r="E138" s="50" t="s">
        <v>402</v>
      </c>
      <c r="F138" s="51">
        <v>1</v>
      </c>
      <c r="G138" s="51">
        <v>1</v>
      </c>
    </row>
    <row r="139" spans="1:7">
      <c r="A139" s="50" t="s">
        <v>95</v>
      </c>
      <c r="B139" s="50" t="s">
        <v>104</v>
      </c>
      <c r="C139" s="50" t="s">
        <v>403</v>
      </c>
      <c r="D139" s="50" t="s">
        <v>404</v>
      </c>
      <c r="E139" s="50" t="s">
        <v>404</v>
      </c>
      <c r="F139" s="51">
        <v>1</v>
      </c>
      <c r="G139" s="51">
        <v>1</v>
      </c>
    </row>
    <row r="140" spans="1:7">
      <c r="A140" s="50" t="s">
        <v>95</v>
      </c>
      <c r="B140" s="50" t="s">
        <v>104</v>
      </c>
      <c r="C140" s="50" t="s">
        <v>405</v>
      </c>
      <c r="D140" s="50" t="s">
        <v>96</v>
      </c>
      <c r="E140" s="50" t="s">
        <v>405</v>
      </c>
      <c r="F140" s="51">
        <v>1</v>
      </c>
      <c r="G140" s="51">
        <v>1</v>
      </c>
    </row>
    <row r="141" spans="1:7">
      <c r="A141" s="50" t="s">
        <v>95</v>
      </c>
      <c r="B141" s="50" t="s">
        <v>104</v>
      </c>
      <c r="C141" s="50" t="s">
        <v>188</v>
      </c>
      <c r="D141" s="50" t="s">
        <v>96</v>
      </c>
      <c r="E141" s="50" t="s">
        <v>188</v>
      </c>
      <c r="F141" s="51">
        <v>1</v>
      </c>
      <c r="G141" s="51">
        <v>1</v>
      </c>
    </row>
    <row r="142" spans="1:7">
      <c r="A142" s="50" t="s">
        <v>95</v>
      </c>
      <c r="B142" s="50" t="s">
        <v>104</v>
      </c>
      <c r="C142" s="50" t="s">
        <v>406</v>
      </c>
      <c r="D142" s="50" t="s">
        <v>96</v>
      </c>
      <c r="E142" s="50" t="s">
        <v>406</v>
      </c>
      <c r="F142" s="51">
        <v>1</v>
      </c>
      <c r="G142" s="51">
        <v>1</v>
      </c>
    </row>
    <row r="143" spans="1:7">
      <c r="A143" s="50" t="s">
        <v>95</v>
      </c>
      <c r="B143" s="50" t="s">
        <v>104</v>
      </c>
      <c r="C143" s="50" t="s">
        <v>189</v>
      </c>
      <c r="D143" s="50" t="s">
        <v>96</v>
      </c>
      <c r="E143" s="50" t="s">
        <v>189</v>
      </c>
      <c r="F143" s="51">
        <v>1</v>
      </c>
      <c r="G143" s="51">
        <v>1</v>
      </c>
    </row>
  </sheetData>
  <mergeCells count="1">
    <mergeCell ref="A2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selection activeCell="B29" sqref="B29"/>
    </sheetView>
  </sheetViews>
  <sheetFormatPr defaultRowHeight="15"/>
  <cols>
    <col min="1" max="1" width="10.140625" bestFit="1" customWidth="1"/>
    <col min="2" max="2" width="30.28515625" bestFit="1" customWidth="1"/>
    <col min="3" max="3" width="28.85546875" bestFit="1" customWidth="1"/>
  </cols>
  <sheetData>
    <row r="1" spans="1:3">
      <c r="A1" t="s">
        <v>0</v>
      </c>
      <c r="B1" t="s">
        <v>407</v>
      </c>
      <c r="C1" t="s">
        <v>408</v>
      </c>
    </row>
    <row r="2" spans="1:3">
      <c r="A2" s="7">
        <v>46082</v>
      </c>
      <c r="B2">
        <v>0</v>
      </c>
      <c r="C2">
        <v>0</v>
      </c>
    </row>
    <row r="3" spans="1:3">
      <c r="A3" s="7">
        <v>46083</v>
      </c>
      <c r="B3">
        <v>0</v>
      </c>
      <c r="C3">
        <v>0</v>
      </c>
    </row>
    <row r="4" spans="1:3">
      <c r="A4" s="7">
        <v>46084</v>
      </c>
      <c r="B4">
        <v>173</v>
      </c>
      <c r="C4">
        <v>173</v>
      </c>
    </row>
    <row r="5" spans="1:3">
      <c r="A5" s="7">
        <v>46085</v>
      </c>
      <c r="B5">
        <v>126</v>
      </c>
      <c r="C5">
        <v>126</v>
      </c>
    </row>
    <row r="6" spans="1:3">
      <c r="A6" s="7">
        <v>46086</v>
      </c>
      <c r="B6">
        <v>18</v>
      </c>
      <c r="C6">
        <v>18</v>
      </c>
    </row>
    <row r="7" spans="1:3">
      <c r="A7" s="7">
        <v>46087</v>
      </c>
      <c r="B7">
        <v>20</v>
      </c>
      <c r="C7">
        <v>20</v>
      </c>
    </row>
    <row r="8" spans="1:3">
      <c r="A8" s="7">
        <v>46088</v>
      </c>
      <c r="B8">
        <v>6</v>
      </c>
      <c r="C8">
        <v>6</v>
      </c>
    </row>
    <row r="9" spans="1:3">
      <c r="A9" s="7">
        <v>46089</v>
      </c>
      <c r="B9">
        <v>1</v>
      </c>
      <c r="C9">
        <v>1</v>
      </c>
    </row>
    <row r="10" spans="1:3">
      <c r="A10" s="7">
        <v>46090</v>
      </c>
      <c r="B10">
        <v>7</v>
      </c>
      <c r="C10">
        <v>7</v>
      </c>
    </row>
    <row r="11" spans="1:3">
      <c r="A11" s="7">
        <v>46091</v>
      </c>
      <c r="B11">
        <v>427</v>
      </c>
      <c r="C11">
        <v>427</v>
      </c>
    </row>
    <row r="12" spans="1:3">
      <c r="A12" s="7">
        <v>46092</v>
      </c>
      <c r="B12">
        <v>14</v>
      </c>
      <c r="C12">
        <v>14</v>
      </c>
    </row>
    <row r="13" spans="1:3">
      <c r="A13" s="7">
        <v>46093</v>
      </c>
      <c r="B13">
        <v>2</v>
      </c>
      <c r="C13">
        <v>2</v>
      </c>
    </row>
    <row r="14" spans="1:3">
      <c r="A14" s="7">
        <v>46094</v>
      </c>
      <c r="B14">
        <v>7</v>
      </c>
      <c r="C14">
        <v>7</v>
      </c>
    </row>
    <row r="15" spans="1:3">
      <c r="A15" s="7">
        <v>46095</v>
      </c>
      <c r="B15">
        <v>31</v>
      </c>
      <c r="C15">
        <v>31</v>
      </c>
    </row>
    <row r="16" spans="1:3">
      <c r="A16" s="7">
        <v>46096</v>
      </c>
      <c r="B16">
        <v>1</v>
      </c>
      <c r="C16">
        <v>1</v>
      </c>
    </row>
    <row r="17" spans="1:3">
      <c r="A17" s="7">
        <v>46097</v>
      </c>
      <c r="B17">
        <v>79</v>
      </c>
      <c r="C17">
        <v>79</v>
      </c>
    </row>
    <row r="18" spans="1:3">
      <c r="A18" s="7">
        <v>46098</v>
      </c>
      <c r="B18">
        <v>40</v>
      </c>
      <c r="C18">
        <v>40</v>
      </c>
    </row>
    <row r="19" spans="1:3">
      <c r="A19" s="7">
        <v>46099</v>
      </c>
      <c r="B19">
        <v>145</v>
      </c>
      <c r="C19">
        <v>145</v>
      </c>
    </row>
    <row r="20" spans="1:3">
      <c r="A20" s="7">
        <v>46100</v>
      </c>
      <c r="B20">
        <v>184</v>
      </c>
      <c r="C20">
        <v>184</v>
      </c>
    </row>
    <row r="21" spans="1:3">
      <c r="A21" s="7">
        <v>46101</v>
      </c>
      <c r="B21">
        <v>230</v>
      </c>
      <c r="C21">
        <v>230</v>
      </c>
    </row>
    <row r="22" spans="1:3">
      <c r="A22" s="7">
        <v>46102</v>
      </c>
      <c r="B22">
        <v>166</v>
      </c>
      <c r="C22">
        <v>166</v>
      </c>
    </row>
    <row r="23" spans="1:3">
      <c r="A23" s="7">
        <v>46103</v>
      </c>
      <c r="B23">
        <v>10</v>
      </c>
      <c r="C23">
        <v>10</v>
      </c>
    </row>
    <row r="24" spans="1:3">
      <c r="A24" s="7">
        <v>46104</v>
      </c>
      <c r="B24">
        <v>1</v>
      </c>
      <c r="C24">
        <v>1</v>
      </c>
    </row>
    <row r="25" spans="1:3">
      <c r="A25" s="7">
        <v>46105</v>
      </c>
      <c r="B25">
        <v>23</v>
      </c>
      <c r="C25">
        <v>23</v>
      </c>
    </row>
    <row r="26" spans="1:3">
      <c r="A26" s="7">
        <v>46106</v>
      </c>
      <c r="B26">
        <v>61</v>
      </c>
      <c r="C26">
        <v>61</v>
      </c>
    </row>
    <row r="27" spans="1:3">
      <c r="A27" s="7">
        <v>46107</v>
      </c>
      <c r="B27">
        <v>71</v>
      </c>
      <c r="C27">
        <v>71</v>
      </c>
    </row>
    <row r="28" spans="1:3">
      <c r="A28" s="7">
        <v>46108</v>
      </c>
      <c r="B28">
        <v>59</v>
      </c>
      <c r="C28">
        <v>59</v>
      </c>
    </row>
    <row r="29" spans="1:3">
      <c r="A29" s="7">
        <v>46109</v>
      </c>
      <c r="B29">
        <v>30</v>
      </c>
      <c r="C29">
        <v>30</v>
      </c>
    </row>
    <row r="30" spans="1:3">
      <c r="A30" s="7">
        <v>46110</v>
      </c>
      <c r="B30">
        <v>1</v>
      </c>
      <c r="C30">
        <v>1</v>
      </c>
    </row>
    <row r="31" spans="1:3">
      <c r="A31" s="7">
        <v>46111</v>
      </c>
      <c r="B31">
        <v>2</v>
      </c>
      <c r="C31">
        <v>2</v>
      </c>
    </row>
    <row r="32" spans="1:3">
      <c r="A32" s="7">
        <v>46112</v>
      </c>
      <c r="B32">
        <v>2</v>
      </c>
      <c r="C32">
        <v>2</v>
      </c>
    </row>
    <row r="33" spans="1:3">
      <c r="A33" s="7">
        <v>46113</v>
      </c>
      <c r="B33">
        <v>6</v>
      </c>
      <c r="C33">
        <v>6</v>
      </c>
    </row>
    <row r="34" spans="1:3">
      <c r="A34" s="7">
        <v>46114</v>
      </c>
      <c r="B34">
        <v>3</v>
      </c>
      <c r="C34">
        <v>3</v>
      </c>
    </row>
    <row r="35" spans="1:3">
      <c r="A35" s="7">
        <v>46115</v>
      </c>
      <c r="B35">
        <v>28</v>
      </c>
      <c r="C35">
        <v>28</v>
      </c>
    </row>
    <row r="36" spans="1:3">
      <c r="A36" s="7">
        <v>46116</v>
      </c>
      <c r="B36">
        <v>0</v>
      </c>
      <c r="C36">
        <v>0</v>
      </c>
    </row>
    <row r="37" spans="1:3">
      <c r="A37" s="7">
        <v>46117</v>
      </c>
      <c r="B37">
        <v>11</v>
      </c>
      <c r="C37">
        <v>11</v>
      </c>
    </row>
    <row r="38" spans="1:3">
      <c r="A38" s="7">
        <v>46118</v>
      </c>
      <c r="B38">
        <v>45</v>
      </c>
      <c r="C38">
        <v>45</v>
      </c>
    </row>
    <row r="39" spans="1:3">
      <c r="A39" s="7">
        <v>46119</v>
      </c>
      <c r="B39">
        <v>0</v>
      </c>
      <c r="C39">
        <v>0</v>
      </c>
    </row>
    <row r="40" spans="1:3">
      <c r="A40" s="7">
        <v>46120</v>
      </c>
      <c r="B40">
        <v>1</v>
      </c>
      <c r="C40">
        <v>1</v>
      </c>
    </row>
    <row r="41" spans="1:3">
      <c r="A41" s="7">
        <v>46121</v>
      </c>
      <c r="B41">
        <v>2</v>
      </c>
      <c r="C41">
        <v>2</v>
      </c>
    </row>
    <row r="42" spans="1:3">
      <c r="A42" s="7">
        <v>46122</v>
      </c>
      <c r="B42">
        <v>2</v>
      </c>
      <c r="C42">
        <v>2</v>
      </c>
    </row>
    <row r="43" spans="1:3">
      <c r="A43" s="7">
        <v>46123</v>
      </c>
      <c r="B43">
        <v>1</v>
      </c>
      <c r="C43">
        <v>1</v>
      </c>
    </row>
    <row r="44" spans="1:3">
      <c r="A44" s="7">
        <v>46124</v>
      </c>
      <c r="B44">
        <v>1</v>
      </c>
      <c r="C44">
        <v>1</v>
      </c>
    </row>
    <row r="45" spans="1:3">
      <c r="A45" s="7">
        <v>46125</v>
      </c>
      <c r="B45">
        <v>3</v>
      </c>
      <c r="C45">
        <v>3</v>
      </c>
    </row>
    <row r="46" spans="1:3">
      <c r="A46" s="7">
        <v>46126</v>
      </c>
      <c r="B46">
        <v>3</v>
      </c>
      <c r="C46">
        <v>3</v>
      </c>
    </row>
    <row r="47" spans="1:3">
      <c r="A47" s="7">
        <v>46127</v>
      </c>
      <c r="B47">
        <v>5</v>
      </c>
      <c r="C47">
        <v>5</v>
      </c>
    </row>
    <row r="48" spans="1:3">
      <c r="A48" s="7">
        <v>46128</v>
      </c>
      <c r="B48">
        <v>20</v>
      </c>
      <c r="C48">
        <v>20</v>
      </c>
    </row>
    <row r="49" spans="1:3">
      <c r="A49" s="7">
        <v>46129</v>
      </c>
      <c r="B49">
        <v>1</v>
      </c>
      <c r="C49">
        <v>1</v>
      </c>
    </row>
    <row r="50" spans="1:3">
      <c r="A50" s="7">
        <v>46130</v>
      </c>
      <c r="B50">
        <v>2</v>
      </c>
      <c r="C50">
        <v>2</v>
      </c>
    </row>
    <row r="51" spans="1:3">
      <c r="A51" s="7">
        <v>46131</v>
      </c>
      <c r="B51">
        <v>1</v>
      </c>
      <c r="C51">
        <v>1</v>
      </c>
    </row>
    <row r="52" spans="1:3">
      <c r="A52" s="7">
        <v>46132</v>
      </c>
      <c r="B52">
        <v>2</v>
      </c>
      <c r="C52">
        <v>2</v>
      </c>
    </row>
    <row r="53" spans="1:3">
      <c r="A53" s="7">
        <v>46133</v>
      </c>
      <c r="B53">
        <v>0</v>
      </c>
      <c r="C53">
        <v>0</v>
      </c>
    </row>
    <row r="54" spans="1:3">
      <c r="A54" s="7">
        <v>46134</v>
      </c>
      <c r="B54">
        <v>0</v>
      </c>
      <c r="C54">
        <v>0</v>
      </c>
    </row>
    <row r="55" spans="1:3">
      <c r="A55" s="7">
        <v>46135</v>
      </c>
      <c r="B55">
        <v>8</v>
      </c>
      <c r="C55">
        <v>8</v>
      </c>
    </row>
    <row r="56" spans="1:3">
      <c r="A56" s="7">
        <v>46136</v>
      </c>
      <c r="B56">
        <v>2</v>
      </c>
      <c r="C56">
        <v>2</v>
      </c>
    </row>
    <row r="57" spans="1:3">
      <c r="A57" s="7">
        <v>46137</v>
      </c>
      <c r="B57">
        <v>13</v>
      </c>
      <c r="C57">
        <v>13</v>
      </c>
    </row>
    <row r="58" spans="1:3">
      <c r="A58" s="7">
        <v>46138</v>
      </c>
      <c r="B58">
        <v>0</v>
      </c>
      <c r="C58">
        <v>0</v>
      </c>
    </row>
    <row r="59" spans="1:3">
      <c r="A59" s="7">
        <v>46139</v>
      </c>
      <c r="B59">
        <v>1</v>
      </c>
      <c r="C59">
        <v>1</v>
      </c>
    </row>
    <row r="60" spans="1:3">
      <c r="A60" s="7">
        <v>46140</v>
      </c>
      <c r="B60">
        <v>13</v>
      </c>
      <c r="C60">
        <v>13</v>
      </c>
    </row>
    <row r="61" spans="1:3">
      <c r="A61" s="7">
        <v>46141</v>
      </c>
      <c r="B61">
        <v>1</v>
      </c>
      <c r="C61">
        <v>1</v>
      </c>
    </row>
    <row r="62" spans="1:3">
      <c r="A62" s="7">
        <v>46142</v>
      </c>
      <c r="B62">
        <v>1</v>
      </c>
      <c r="C62">
        <v>1</v>
      </c>
    </row>
    <row r="63" spans="1:3">
      <c r="A63" s="7">
        <v>46143</v>
      </c>
      <c r="B63">
        <v>0</v>
      </c>
      <c r="C63">
        <v>0</v>
      </c>
    </row>
    <row r="64" spans="1:3">
      <c r="A64" s="7">
        <v>46144</v>
      </c>
      <c r="B64">
        <v>1</v>
      </c>
      <c r="C64">
        <v>1</v>
      </c>
    </row>
    <row r="65" spans="1:3">
      <c r="A65" s="7">
        <v>46145</v>
      </c>
      <c r="B65">
        <v>0</v>
      </c>
      <c r="C65">
        <v>0</v>
      </c>
    </row>
    <row r="66" spans="1:3">
      <c r="A66" s="7">
        <v>46146</v>
      </c>
      <c r="B66">
        <v>2</v>
      </c>
      <c r="C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1</vt:i4>
      </vt:variant>
    </vt:vector>
  </HeadingPairs>
  <TitlesOfParts>
    <vt:vector size="21" baseType="lpstr">
      <vt:lpstr>formulas_practice </vt:lpstr>
      <vt:lpstr>lookup_practice</vt:lpstr>
      <vt:lpstr>conversions_daily</vt:lpstr>
      <vt:lpstr>visits_daily</vt:lpstr>
      <vt:lpstr>visits_by_weekday</vt:lpstr>
      <vt:lpstr>pages_entry</vt:lpstr>
      <vt:lpstr>entry_main_daily</vt:lpstr>
      <vt:lpstr>pages_exit</vt:lpstr>
      <vt:lpstr>exit_main_daily</vt:lpstr>
      <vt:lpstr>sources_summary</vt:lpstr>
      <vt:lpstr>sources_daily</vt:lpstr>
      <vt:lpstr> conversions_detail</vt:lpstr>
      <vt:lpstr>search_daily</vt:lpstr>
      <vt:lpstr>search_phrases</vt:lpstr>
      <vt:lpstr>age_summary</vt:lpstr>
      <vt:lpstr>age_daily</vt:lpstr>
      <vt:lpstr>gender_summary</vt:lpstr>
      <vt:lpstr>gender_daily</vt:lpstr>
      <vt:lpstr>popular_total</vt:lpstr>
      <vt:lpstr>popular_daily</vt:lpstr>
      <vt:lpstr>Визиты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2026-05-05T15:56:38Z</dcterms:modified>
</cp:coreProperties>
</file>